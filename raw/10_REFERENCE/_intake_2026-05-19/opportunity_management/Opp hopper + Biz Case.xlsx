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ortunity Hopper" sheetId="1" r:id="rId4"/>
    <sheet state="visible" name="Business Case - Fundamentals" sheetId="2" r:id="rId5"/>
    <sheet state="visible" name="Business Case" sheetId="3" r:id="rId6"/>
    <sheet state="visible" name="Business Case Dashboard" sheetId="4" r:id="rId7"/>
  </sheets>
  <definedNames/>
  <calcPr/>
</workbook>
</file>

<file path=xl/sharedStrings.xml><?xml version="1.0" encoding="utf-8"?>
<sst xmlns="http://schemas.openxmlformats.org/spreadsheetml/2006/main" count="335" uniqueCount="136">
  <si>
    <t>ID</t>
  </si>
  <si>
    <t>Aligned to Goal:</t>
  </si>
  <si>
    <t>Title</t>
  </si>
  <si>
    <t>Description</t>
  </si>
  <si>
    <t>Is the process standardised?</t>
  </si>
  <si>
    <t>Is the data structured and consistent?</t>
  </si>
  <si>
    <t>Does the process require manual intervention?</t>
  </si>
  <si>
    <t>Are there frequent exceptions or edge cases?</t>
  </si>
  <si>
    <t>Does the process rely on multiple system integrations?</t>
  </si>
  <si>
    <t>Complexity
(AUTO)</t>
  </si>
  <si>
    <t>Time to Complete Process (mins)</t>
  </si>
  <si>
    <t>Volume (per month)</t>
  </si>
  <si>
    <t>Time spent per month (min)</t>
  </si>
  <si>
    <t>Time Spent per month (hrs)</t>
  </si>
  <si>
    <t>Proposed Solution</t>
  </si>
  <si>
    <t>Proposed Vendor</t>
  </si>
  <si>
    <t>Process Re-engineering Required?</t>
  </si>
  <si>
    <t>Explanation:</t>
  </si>
  <si>
    <t>Feasibility</t>
  </si>
  <si>
    <t>Key Stakeholder Name</t>
  </si>
  <si>
    <t>Key Stakeholder Email</t>
  </si>
  <si>
    <t>Date Logged</t>
  </si>
  <si>
    <t>Date Signed Off</t>
  </si>
  <si>
    <t>Developed by: Business Analyst</t>
  </si>
  <si>
    <t>OPP-001</t>
  </si>
  <si>
    <t>Make More money</t>
  </si>
  <si>
    <t>Automate Customer Support FAQs</t>
  </si>
  <si>
    <t>Deploy a chatbot to handle common customer queries.</t>
  </si>
  <si>
    <t>Low</t>
  </si>
  <si>
    <t>Medium</t>
  </si>
  <si>
    <t>Automation</t>
  </si>
  <si>
    <t>Microsoft</t>
  </si>
  <si>
    <t>Yes</t>
  </si>
  <si>
    <t>High</t>
  </si>
  <si>
    <t>&lt;Name&gt;</t>
  </si>
  <si>
    <t>&lt;Email&gt;</t>
  </si>
  <si>
    <t>&lt;Last Week&gt;</t>
  </si>
  <si>
    <t>&lt;Today&gt;</t>
  </si>
  <si>
    <t>OPP-002</t>
  </si>
  <si>
    <t>Stop spending so much</t>
  </si>
  <si>
    <t>Invoice Processing Automation</t>
  </si>
  <si>
    <t>Automate invoice data entry and validation.</t>
  </si>
  <si>
    <t>BluePrism</t>
  </si>
  <si>
    <t>No</t>
  </si>
  <si>
    <t>OPP-003</t>
  </si>
  <si>
    <t>Grow in market</t>
  </si>
  <si>
    <t>Employee Onboarding Chatbot</t>
  </si>
  <si>
    <t>Create a chatbot to guide employees through onboarding.</t>
  </si>
  <si>
    <t>Chatbot</t>
  </si>
  <si>
    <t>Voiceflow</t>
  </si>
  <si>
    <t>OPP-004</t>
  </si>
  <si>
    <t>Improve processing times</t>
  </si>
  <si>
    <t>Order Status Updates Chatbot</t>
  </si>
  <si>
    <t>Automate customer order status inquiries via chatbot.</t>
  </si>
  <si>
    <t>AI</t>
  </si>
  <si>
    <t>Celonis</t>
  </si>
  <si>
    <t>OPP-005</t>
  </si>
  <si>
    <t>Enabling scaling</t>
  </si>
  <si>
    <t>Inventory Replenishment RPA</t>
  </si>
  <si>
    <t>Implement RPA for automated inventory restocking.</t>
  </si>
  <si>
    <t>Make.com</t>
  </si>
  <si>
    <t>OPP-006</t>
  </si>
  <si>
    <t>Example</t>
  </si>
  <si>
    <t>IT Support Ticket Categorisation</t>
  </si>
  <si>
    <t>Automate categorisation of incoming IT support tickets.</t>
  </si>
  <si>
    <t>n8n</t>
  </si>
  <si>
    <t>OPP-007</t>
  </si>
  <si>
    <t>Sales Lead Qualification Bot</t>
  </si>
  <si>
    <t>Deploy an AI bot to qualify sales leads automatically.</t>
  </si>
  <si>
    <t>OpenAI</t>
  </si>
  <si>
    <t>OPP-008</t>
  </si>
  <si>
    <t>Marketing Campaign Automation</t>
  </si>
  <si>
    <t>Automate creation and scheduling of marketing campaigns.</t>
  </si>
  <si>
    <t>Claude</t>
  </si>
  <si>
    <t>OPP-009</t>
  </si>
  <si>
    <t>Expense Approval Workflow</t>
  </si>
  <si>
    <t>Automate approval workflows for expense claims.</t>
  </si>
  <si>
    <t>OPP-010</t>
  </si>
  <si>
    <t>Appointment Scheduling AI</t>
  </si>
  <si>
    <t>AI-powered scheduling assistant for appointments.</t>
  </si>
  <si>
    <t>Business Case Details</t>
  </si>
  <si>
    <t>Number of working days in a year</t>
  </si>
  <si>
    <t>&lt;- Update</t>
  </si>
  <si>
    <t>Holiday</t>
  </si>
  <si>
    <t>Working days per FTE</t>
  </si>
  <si>
    <t>&lt;- Fixed</t>
  </si>
  <si>
    <t>Hours worked per shift</t>
  </si>
  <si>
    <t>Total Hours at work</t>
  </si>
  <si>
    <t>Efficiency</t>
  </si>
  <si>
    <t>Total hours worked</t>
  </si>
  <si>
    <t>Total Number of FTE</t>
  </si>
  <si>
    <t>Total Spend on FTE</t>
  </si>
  <si>
    <t>Business Area 1 (e.g HR)</t>
  </si>
  <si>
    <t>Business Area 2 (e.g. Customer Service)</t>
  </si>
  <si>
    <t>Business Area 3 (e.g. Finance)</t>
  </si>
  <si>
    <t>Number of FTE</t>
  </si>
  <si>
    <t>Cost per FTE</t>
  </si>
  <si>
    <t>Total Cost of FTEs</t>
  </si>
  <si>
    <t>Cost Per Hour</t>
  </si>
  <si>
    <t>Cost Per Min</t>
  </si>
  <si>
    <t>Business Case -&gt;</t>
  </si>
  <si>
    <t>Reduction in cases? (%)</t>
  </si>
  <si>
    <t>New Total Monthly Case Total</t>
  </si>
  <si>
    <t>Estimated Time Saving per case (%)</t>
  </si>
  <si>
    <t>New Time Per case (Min)</t>
  </si>
  <si>
    <t>Associated Business Team</t>
  </si>
  <si>
    <t>Cases Saved Annually</t>
  </si>
  <si>
    <t>Time Saved Annually (Min)</t>
  </si>
  <si>
    <t>Time Saved Annually (Hrs)</t>
  </si>
  <si>
    <t>FTE Saved</t>
  </si>
  <si>
    <t>Cost Saved</t>
  </si>
  <si>
    <t>Business Team 2</t>
  </si>
  <si>
    <t>Business Team 3</t>
  </si>
  <si>
    <t>Business Team 1</t>
  </si>
  <si>
    <t>Number of Opportunities Identified</t>
  </si>
  <si>
    <t>Avg. % reduction in cases</t>
  </si>
  <si>
    <t>Avg. % reduction in time per case cases</t>
  </si>
  <si>
    <t>Additional Details</t>
  </si>
  <si>
    <t>Savings by Team</t>
  </si>
  <si>
    <t>Number of Solutions for Business Team 1</t>
  </si>
  <si>
    <t>Number of Solutions for Business Team 2</t>
  </si>
  <si>
    <t>Number of Solutions for Business Team 3</t>
  </si>
  <si>
    <t>^^ Total Value ^^</t>
  </si>
  <si>
    <t>Complexity:</t>
  </si>
  <si>
    <t>Number of Low Complexity Solutions</t>
  </si>
  <si>
    <t>Number of Medium Complexity Solutions</t>
  </si>
  <si>
    <t>Number of High Complexity Solutions</t>
  </si>
  <si>
    <t>Solution Type</t>
  </si>
  <si>
    <t>Number of AI Solutions</t>
  </si>
  <si>
    <t>Number of Automation Solutions</t>
  </si>
  <si>
    <t>Number of Chatbot Solutions</t>
  </si>
  <si>
    <t>Fesibility</t>
  </si>
  <si>
    <t>Number of Low Fesibility Solutions</t>
  </si>
  <si>
    <t>Number of Medium Fesibility Solutions</t>
  </si>
  <si>
    <t>Number of High Fesibility Solutions</t>
  </si>
  <si>
    <t>Process Re-Engineering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</si>
</sst>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_([$£-809]* #,##0.00_);_([$£-809]* \(#,##0.00\);_([$£-809]* &quot;-&quot;??_);_(@_)"/>
    <numFmt numFmtId="166" formatCode="[$£-809]#,##0.00"/>
    <numFmt numFmtId="167" formatCode="_([$£-809]* #,##0_);_([$£-809]* \(#,##0\);_([$£-809]* &quot;-&quot;??_);_(@_)"/>
    <numFmt numFmtId="168" formatCode="[$£-809]#,##0"/>
  </numFmts>
  <fonts count="21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rgb="FF073763"/>
      <name val="Arial"/>
    </font>
    <font>
      <b/>
      <i/>
      <color rgb="FFFFFFFF"/>
      <name val="Arial"/>
      <scheme val="minor"/>
    </font>
    <font>
      <i/>
      <color rgb="FFFFFFFF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u/>
      <color rgb="FF0000FF"/>
      <name val="Roboto"/>
    </font>
    <font>
      <b/>
      <color rgb="FF000000"/>
      <name val="Arial"/>
      <scheme val="minor"/>
    </font>
    <font>
      <b/>
      <i/>
      <color rgb="FFFF0000"/>
      <name val="Arial"/>
      <scheme val="minor"/>
    </font>
    <font>
      <b/>
      <sz val="11.0"/>
      <color rgb="FFFFFFFF"/>
      <name val="Arial"/>
    </font>
    <font>
      <b/>
      <color rgb="FFFFFFFF"/>
      <name val="Roboto"/>
    </font>
    <font>
      <sz val="11.0"/>
      <color theme="1"/>
      <name val="Arial"/>
    </font>
    <font>
      <color rgb="FFFFCFC9"/>
      <name val="Roboto"/>
    </font>
    <font>
      <sz val="11.0"/>
      <color rgb="FFD4EDBC"/>
      <name val="Arial"/>
    </font>
    <font>
      <b/>
      <sz val="15.0"/>
      <color theme="1"/>
      <name val="Arial"/>
      <scheme val="minor"/>
    </font>
    <font>
      <sz val="50.0"/>
      <color theme="1"/>
      <name val="Arial"/>
      <scheme val="minor"/>
    </font>
    <font/>
    <font>
      <b/>
      <sz val="20.0"/>
      <color rgb="FFFFFFFF"/>
      <name val="Arial"/>
      <scheme val="minor"/>
    </font>
    <font>
      <sz val="40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674EA7"/>
        <bgColor rgb="FF674EA7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28">
    <border/>
    <border>
      <left style="thin">
        <color rgb="FF284E3F"/>
      </left>
      <right style="thin">
        <color rgb="FF000000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274E13"/>
      </left>
      <right style="thin">
        <color rgb="FF274E13"/>
      </right>
      <top style="thin">
        <color rgb="FF284E3F"/>
      </top>
      <bottom style="thin">
        <color rgb="FF284E3F"/>
      </bottom>
    </border>
    <border>
      <left style="thin">
        <color rgb="FFCFE2F3"/>
      </left>
      <right style="thin">
        <color rgb="FFCFE2F3"/>
      </right>
      <top style="thin">
        <color rgb="FF284E3F"/>
      </top>
      <bottom style="thin">
        <color rgb="FF284E3F"/>
      </bottom>
    </border>
    <border>
      <left style="thin">
        <color rgb="FF073763"/>
      </left>
      <right style="thin">
        <color rgb="FF073763"/>
      </right>
      <top style="thin">
        <color rgb="FF284E3F"/>
      </top>
      <bottom style="thin">
        <color rgb="FF284E3F"/>
      </bottom>
    </border>
    <border>
      <left style="thin">
        <color rgb="FF674EA7"/>
      </left>
      <right style="thin">
        <color rgb="FF674EA7"/>
      </right>
      <top style="thin">
        <color rgb="FF284E3F"/>
      </top>
      <bottom style="thin">
        <color rgb="FF284E3F"/>
      </bottom>
    </border>
    <border>
      <left style="thin">
        <color rgb="FF999999"/>
      </left>
      <right style="thin">
        <color rgb="FF999999"/>
      </right>
      <top style="thin">
        <color rgb="FF284E3F"/>
      </top>
      <bottom style="thin">
        <color rgb="FF284E3F"/>
      </bottom>
    </border>
    <border>
      <left style="thin">
        <color rgb="FF999999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F"/>
      </bottom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1" numFmtId="49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readingOrder="0" shrinkToFit="0" vertical="center" wrapText="1"/>
    </xf>
    <xf borderId="6" fillId="5" fontId="1" numFmtId="0" xfId="0" applyAlignment="1" applyBorder="1" applyFill="1" applyFont="1">
      <alignment horizontal="center" readingOrder="0" shrinkToFit="0" vertical="center" wrapText="1"/>
    </xf>
    <xf borderId="7" fillId="6" fontId="2" numFmtId="0" xfId="0" applyAlignment="1" applyBorder="1" applyFill="1" applyFont="1">
      <alignment horizontal="left" readingOrder="0" shrinkToFit="0" vertical="center" wrapText="1"/>
    </xf>
    <xf borderId="7" fillId="6" fontId="1" numFmtId="0" xfId="0" applyAlignment="1" applyBorder="1" applyFont="1">
      <alignment horizontal="center" readingOrder="0" shrinkToFit="0" vertical="center" wrapText="1"/>
    </xf>
    <xf borderId="8" fillId="7" fontId="4" numFmtId="0" xfId="0" applyAlignment="1" applyBorder="1" applyFill="1" applyFont="1">
      <alignment horizontal="left" readingOrder="0" shrinkToFit="0" vertical="center" wrapText="1"/>
    </xf>
    <xf borderId="8" fillId="7" fontId="5" numFmtId="0" xfId="0" applyAlignment="1" applyBorder="1" applyFont="1">
      <alignment horizontal="left" readingOrder="0" shrinkToFit="0" vertical="center" wrapText="1"/>
    </xf>
    <xf borderId="9" fillId="7" fontId="5" numFmtId="0" xfId="0" applyAlignment="1" applyBorder="1" applyFont="1">
      <alignment horizontal="left" readingOrder="0" shrinkToFit="0" vertical="center" wrapText="1"/>
    </xf>
    <xf borderId="10" fillId="0" fontId="6" numFmtId="0" xfId="0" applyAlignment="1" applyBorder="1" applyFont="1">
      <alignment readingOrder="0" shrinkToFit="0" vertical="bottom" wrapText="0"/>
    </xf>
    <xf borderId="11" fillId="0" fontId="7" numFmtId="0" xfId="0" applyAlignment="1" applyBorder="1" applyFont="1">
      <alignment readingOrder="0" shrinkToFit="0" vertical="center" wrapText="0"/>
    </xf>
    <xf borderId="11" fillId="0" fontId="6" numFmtId="0" xfId="0" applyAlignment="1" applyBorder="1" applyFont="1">
      <alignment readingOrder="0" shrinkToFit="0" vertical="bottom" wrapText="0"/>
    </xf>
    <xf borderId="11" fillId="0" fontId="6" numFmtId="0" xfId="0" applyAlignment="1" applyBorder="1" applyFont="1">
      <alignment readingOrder="0" shrinkToFit="0" vertical="bottom" wrapText="0"/>
    </xf>
    <xf borderId="11" fillId="0" fontId="6" numFmtId="0" xfId="0" applyAlignment="1" applyBorder="1" applyFont="1">
      <alignment readingOrder="0" shrinkToFit="0" vertical="bottom" wrapText="0"/>
    </xf>
    <xf borderId="11" fillId="0" fontId="6" numFmtId="4" xfId="0" applyAlignment="1" applyBorder="1" applyFont="1" applyNumberFormat="1">
      <alignment readingOrder="0" shrinkToFit="0" vertical="bottom" wrapText="0"/>
    </xf>
    <xf borderId="11" fillId="0" fontId="6" numFmtId="3" xfId="0" applyAlignment="1" applyBorder="1" applyFont="1" applyNumberFormat="1">
      <alignment readingOrder="0" shrinkToFit="0" vertical="bottom" wrapText="0"/>
    </xf>
    <xf borderId="11" fillId="0" fontId="6" numFmtId="164" xfId="0" applyAlignment="1" applyBorder="1" applyFont="1" applyNumberFormat="1">
      <alignment readingOrder="0" shrinkToFit="0" vertical="bottom" wrapText="0"/>
    </xf>
    <xf borderId="11" fillId="0" fontId="7" numFmtId="0" xfId="0" applyAlignment="1" applyBorder="1" applyFont="1">
      <alignment readingOrder="0" shrinkToFit="0" vertical="center" wrapText="0"/>
    </xf>
    <xf borderId="11" fillId="0" fontId="7" numFmtId="0" xfId="0" applyAlignment="1" applyBorder="1" applyFont="1">
      <alignment shrinkToFit="0" vertical="center" wrapText="0"/>
    </xf>
    <xf borderId="12" fillId="0" fontId="7" numFmtId="0" xfId="0" applyAlignment="1" applyBorder="1" applyFont="1">
      <alignment readingOrder="0" shrinkToFit="0" vertical="center" wrapText="0"/>
    </xf>
    <xf borderId="13" fillId="0" fontId="6" numFmtId="0" xfId="0" applyAlignment="1" applyBorder="1" applyFont="1">
      <alignment readingOrder="0" shrinkToFit="0" vertical="bottom" wrapText="0"/>
    </xf>
    <xf borderId="14" fillId="0" fontId="7" numFmtId="0" xfId="0" applyAlignment="1" applyBorder="1" applyFont="1">
      <alignment readingOrder="0" shrinkToFit="0" vertical="center" wrapText="0"/>
    </xf>
    <xf borderId="14" fillId="0" fontId="6" numFmtId="0" xfId="0" applyAlignment="1" applyBorder="1" applyFont="1">
      <alignment readingOrder="0" shrinkToFit="0" vertical="bottom" wrapText="0"/>
    </xf>
    <xf borderId="14" fillId="0" fontId="6" numFmtId="0" xfId="0" applyAlignment="1" applyBorder="1" applyFont="1">
      <alignment readingOrder="0" shrinkToFit="0" vertical="bottom" wrapText="0"/>
    </xf>
    <xf borderId="14" fillId="0" fontId="6" numFmtId="0" xfId="0" applyAlignment="1" applyBorder="1" applyFont="1">
      <alignment readingOrder="0" shrinkToFit="0" vertical="bottom" wrapText="0"/>
    </xf>
    <xf borderId="14" fillId="0" fontId="6" numFmtId="4" xfId="0" applyAlignment="1" applyBorder="1" applyFont="1" applyNumberFormat="1">
      <alignment readingOrder="0" shrinkToFit="0" vertical="bottom" wrapText="0"/>
    </xf>
    <xf borderId="14" fillId="0" fontId="6" numFmtId="3" xfId="0" applyAlignment="1" applyBorder="1" applyFont="1" applyNumberFormat="1">
      <alignment readingOrder="0" shrinkToFit="0" vertical="bottom" wrapText="0"/>
    </xf>
    <xf borderId="14" fillId="0" fontId="6" numFmtId="164" xfId="0" applyAlignment="1" applyBorder="1" applyFont="1" applyNumberFormat="1">
      <alignment readingOrder="0" shrinkToFit="0" vertical="bottom" wrapText="0"/>
    </xf>
    <xf borderId="14" fillId="0" fontId="7" numFmtId="0" xfId="0" applyAlignment="1" applyBorder="1" applyFont="1">
      <alignment readingOrder="0" shrinkToFit="0" vertical="center" wrapText="0"/>
    </xf>
    <xf borderId="14" fillId="0" fontId="7" numFmtId="0" xfId="0" applyAlignment="1" applyBorder="1" applyFont="1">
      <alignment shrinkToFit="0" vertical="center" wrapText="0"/>
    </xf>
    <xf borderId="15" fillId="0" fontId="7" numFmtId="0" xfId="0" applyAlignment="1" applyBorder="1" applyFont="1">
      <alignment readingOrder="0" shrinkToFit="0" vertical="center" wrapText="0"/>
    </xf>
    <xf borderId="11" fillId="0" fontId="8" numFmtId="0" xfId="0" applyAlignment="1" applyBorder="1" applyFont="1">
      <alignment readingOrder="0" shrinkToFit="0" vertical="center" wrapText="0"/>
    </xf>
    <xf borderId="16" fillId="0" fontId="6" numFmtId="0" xfId="0" applyAlignment="1" applyBorder="1" applyFont="1">
      <alignment readingOrder="0" shrinkToFit="0" vertical="bottom" wrapText="0"/>
    </xf>
    <xf borderId="17" fillId="0" fontId="7" numFmtId="0" xfId="0" applyAlignment="1" applyBorder="1" applyFont="1">
      <alignment readingOrder="0" shrinkToFit="0" vertical="center" wrapText="0"/>
    </xf>
    <xf borderId="17" fillId="0" fontId="6" numFmtId="0" xfId="0" applyAlignment="1" applyBorder="1" applyFont="1">
      <alignment readingOrder="0" shrinkToFit="0" vertical="bottom" wrapText="0"/>
    </xf>
    <xf borderId="17" fillId="0" fontId="6" numFmtId="0" xfId="0" applyAlignment="1" applyBorder="1" applyFont="1">
      <alignment readingOrder="0" shrinkToFit="0" vertical="bottom" wrapText="0"/>
    </xf>
    <xf borderId="17" fillId="0" fontId="6" numFmtId="0" xfId="0" applyAlignment="1" applyBorder="1" applyFont="1">
      <alignment readingOrder="0" shrinkToFit="0" vertical="bottom" wrapText="0"/>
    </xf>
    <xf borderId="17" fillId="0" fontId="6" numFmtId="4" xfId="0" applyAlignment="1" applyBorder="1" applyFont="1" applyNumberFormat="1">
      <alignment readingOrder="0" shrinkToFit="0" vertical="bottom" wrapText="0"/>
    </xf>
    <xf borderId="17" fillId="0" fontId="6" numFmtId="3" xfId="0" applyAlignment="1" applyBorder="1" applyFont="1" applyNumberFormat="1">
      <alignment readingOrder="0" shrinkToFit="0" vertical="bottom" wrapText="0"/>
    </xf>
    <xf borderId="17" fillId="0" fontId="6" numFmtId="164" xfId="0" applyAlignment="1" applyBorder="1" applyFont="1" applyNumberFormat="1">
      <alignment readingOrder="0" shrinkToFit="0" vertical="bottom" wrapText="0"/>
    </xf>
    <xf borderId="17" fillId="0" fontId="7" numFmtId="0" xfId="0" applyAlignment="1" applyBorder="1" applyFont="1">
      <alignment readingOrder="0" shrinkToFit="0" vertical="center" wrapText="0"/>
    </xf>
    <xf borderId="17" fillId="0" fontId="7" numFmtId="0" xfId="0" applyAlignment="1" applyBorder="1" applyFont="1">
      <alignment shrinkToFit="0" vertical="center" wrapText="0"/>
    </xf>
    <xf borderId="18" fillId="0" fontId="7" numFmtId="0" xfId="0" applyAlignment="1" applyBorder="1" applyFont="1">
      <alignment readingOrder="0" shrinkToFit="0" vertical="center" wrapText="0"/>
    </xf>
    <xf borderId="0" fillId="8" fontId="9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9" fontId="7" numFmtId="3" xfId="0" applyAlignment="1" applyFill="1" applyFont="1" applyNumberFormat="1">
      <alignment readingOrder="0"/>
    </xf>
    <xf borderId="0" fillId="10" fontId="7" numFmtId="3" xfId="0" applyFill="1" applyFont="1" applyNumberFormat="1"/>
    <xf borderId="0" fillId="10" fontId="7" numFmtId="9" xfId="0" applyAlignment="1" applyFont="1" applyNumberFormat="1">
      <alignment readingOrder="0"/>
    </xf>
    <xf borderId="0" fillId="9" fontId="7" numFmtId="3" xfId="0" applyFont="1" applyNumberFormat="1"/>
    <xf borderId="0" fillId="0" fontId="10" numFmtId="0" xfId="0" applyAlignment="1" applyFont="1">
      <alignment readingOrder="0"/>
    </xf>
    <xf borderId="0" fillId="9" fontId="7" numFmtId="4" xfId="0" applyAlignment="1" applyFont="1" applyNumberFormat="1">
      <alignment readingOrder="0"/>
    </xf>
    <xf borderId="0" fillId="9" fontId="7" numFmtId="165" xfId="0" applyAlignment="1" applyFont="1" applyNumberFormat="1">
      <alignment readingOrder="0"/>
    </xf>
    <xf borderId="0" fillId="10" fontId="7" numFmtId="165" xfId="0" applyFont="1" applyNumberFormat="1"/>
    <xf borderId="0" fillId="10" fontId="7" numFmtId="166" xfId="0" applyFont="1" applyNumberFormat="1"/>
    <xf borderId="5" fillId="4" fontId="3" numFmtId="0" xfId="0" applyAlignment="1" applyBorder="1" applyFont="1">
      <alignment horizontal="center" readingOrder="0" shrinkToFit="0" vertical="center" wrapText="1"/>
    </xf>
    <xf borderId="6" fillId="5" fontId="11" numFmtId="0" xfId="0" applyAlignment="1" applyBorder="1" applyFont="1">
      <alignment horizontal="center" readingOrder="0" shrinkToFit="0" vertical="center" wrapText="1"/>
    </xf>
    <xf borderId="7" fillId="6" fontId="12" numFmtId="0" xfId="0" applyAlignment="1" applyBorder="1" applyFont="1">
      <alignment horizontal="left" readingOrder="0" shrinkToFit="0" vertical="center" wrapText="1"/>
    </xf>
    <xf borderId="7" fillId="6" fontId="11" numFmtId="0" xfId="0" applyAlignment="1" applyBorder="1" applyFont="1">
      <alignment horizontal="center" readingOrder="0" shrinkToFit="0" vertical="center" wrapText="1"/>
    </xf>
    <xf borderId="2" fillId="2" fontId="7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19" fillId="0" fontId="7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shrinkToFit="0" wrapText="1"/>
    </xf>
    <xf borderId="11" fillId="11" fontId="13" numFmtId="4" xfId="0" applyAlignment="1" applyBorder="1" applyFill="1" applyFont="1" applyNumberFormat="1">
      <alignment shrinkToFit="0" vertical="bottom" wrapText="0"/>
    </xf>
    <xf borderId="11" fillId="11" fontId="13" numFmtId="0" xfId="0" applyAlignment="1" applyBorder="1" applyFont="1">
      <alignment shrinkToFit="0" vertical="bottom" wrapText="0"/>
    </xf>
    <xf borderId="11" fillId="11" fontId="14" numFmtId="0" xfId="0" applyAlignment="1" applyBorder="1" applyFont="1">
      <alignment shrinkToFit="0" vertical="center" wrapText="0"/>
    </xf>
    <xf borderId="11" fillId="11" fontId="15" numFmtId="0" xfId="0" applyAlignment="1" applyBorder="1" applyFont="1">
      <alignment shrinkToFit="0" vertical="bottom" wrapText="0"/>
    </xf>
    <xf borderId="20" fillId="2" fontId="7" numFmtId="0" xfId="0" applyAlignment="1" applyBorder="1" applyFont="1">
      <alignment shrinkToFit="0" vertical="center" wrapText="0"/>
    </xf>
    <xf borderId="11" fillId="0" fontId="7" numFmtId="10" xfId="0" applyAlignment="1" applyBorder="1" applyFont="1" applyNumberFormat="1">
      <alignment readingOrder="0" shrinkToFit="0" vertical="center" wrapText="0"/>
    </xf>
    <xf borderId="11" fillId="0" fontId="7" numFmtId="4" xfId="0" applyAlignment="1" applyBorder="1" applyFont="1" applyNumberFormat="1">
      <alignment readingOrder="0" shrinkToFit="0" vertical="center" wrapText="0"/>
    </xf>
    <xf borderId="11" fillId="0" fontId="7" numFmtId="4" xfId="0" applyAlignment="1" applyBorder="1" applyFont="1" applyNumberFormat="1">
      <alignment shrinkToFit="0" vertical="center" wrapText="0"/>
    </xf>
    <xf borderId="12" fillId="0" fontId="7" numFmtId="165" xfId="0" applyAlignment="1" applyBorder="1" applyFont="1" applyNumberFormat="1">
      <alignment shrinkToFit="0" vertical="center" wrapText="0"/>
    </xf>
    <xf borderId="14" fillId="0" fontId="7" numFmtId="10" xfId="0" applyAlignment="1" applyBorder="1" applyFont="1" applyNumberFormat="1">
      <alignment readingOrder="0" shrinkToFit="0" vertical="center" wrapText="0"/>
    </xf>
    <xf borderId="14" fillId="0" fontId="7" numFmtId="4" xfId="0" applyAlignment="1" applyBorder="1" applyFont="1" applyNumberFormat="1">
      <alignment readingOrder="0" shrinkToFit="0" vertical="center" wrapText="0"/>
    </xf>
    <xf borderId="14" fillId="0" fontId="7" numFmtId="4" xfId="0" applyAlignment="1" applyBorder="1" applyFont="1" applyNumberFormat="1">
      <alignment shrinkToFit="0" vertical="center" wrapText="0"/>
    </xf>
    <xf borderId="15" fillId="0" fontId="7" numFmtId="165" xfId="0" applyAlignment="1" applyBorder="1" applyFont="1" applyNumberFormat="1">
      <alignment shrinkToFit="0" vertical="center" wrapText="0"/>
    </xf>
    <xf borderId="21" fillId="2" fontId="7" numFmtId="0" xfId="0" applyAlignment="1" applyBorder="1" applyFont="1">
      <alignment shrinkToFit="0" vertical="center" wrapText="0"/>
    </xf>
    <xf borderId="17" fillId="0" fontId="7" numFmtId="10" xfId="0" applyAlignment="1" applyBorder="1" applyFont="1" applyNumberFormat="1">
      <alignment readingOrder="0" shrinkToFit="0" vertical="center" wrapText="0"/>
    </xf>
    <xf borderId="17" fillId="0" fontId="7" numFmtId="4" xfId="0" applyAlignment="1" applyBorder="1" applyFont="1" applyNumberFormat="1">
      <alignment readingOrder="0" shrinkToFit="0" vertical="center" wrapText="0"/>
    </xf>
    <xf borderId="17" fillId="0" fontId="7" numFmtId="4" xfId="0" applyAlignment="1" applyBorder="1" applyFont="1" applyNumberFormat="1">
      <alignment shrinkToFit="0" vertical="center" wrapText="0"/>
    </xf>
    <xf borderId="18" fillId="0" fontId="7" numFmtId="165" xfId="0" applyAlignment="1" applyBorder="1" applyFont="1" applyNumberFormat="1">
      <alignment shrinkToFit="0" vertical="center" wrapText="0"/>
    </xf>
    <xf borderId="0" fillId="4" fontId="7" numFmtId="0" xfId="0" applyFont="1"/>
    <xf borderId="0" fillId="4" fontId="16" numFmtId="0" xfId="0" applyAlignment="1" applyFont="1">
      <alignment horizontal="center" readingOrder="0"/>
    </xf>
    <xf borderId="0" fillId="4" fontId="16" numFmtId="0" xfId="0" applyAlignment="1" applyFont="1">
      <alignment horizontal="center" readingOrder="0"/>
    </xf>
    <xf borderId="22" fillId="4" fontId="17" numFmtId="0" xfId="0" applyAlignment="1" applyBorder="1" applyFont="1">
      <alignment horizontal="center" vertical="center"/>
    </xf>
    <xf borderId="23" fillId="0" fontId="18" numFmtId="0" xfId="0" applyBorder="1" applyFont="1"/>
    <xf borderId="22" fillId="4" fontId="17" numFmtId="3" xfId="0" applyAlignment="1" applyBorder="1" applyFont="1" applyNumberFormat="1">
      <alignment horizontal="center" vertical="center"/>
    </xf>
    <xf borderId="22" fillId="4" fontId="17" numFmtId="167" xfId="0" applyAlignment="1" applyBorder="1" applyFont="1" applyNumberFormat="1">
      <alignment horizontal="center" vertical="center"/>
    </xf>
    <xf borderId="22" fillId="4" fontId="17" numFmtId="10" xfId="0" applyAlignment="1" applyBorder="1" applyFont="1" applyNumberFormat="1">
      <alignment horizontal="center" vertical="center"/>
    </xf>
    <xf borderId="24" fillId="0" fontId="18" numFmtId="0" xfId="0" applyBorder="1" applyFont="1"/>
    <xf borderId="25" fillId="0" fontId="18" numFmtId="0" xfId="0" applyBorder="1" applyFont="1"/>
    <xf borderId="26" fillId="0" fontId="18" numFmtId="0" xfId="0" applyBorder="1" applyFont="1"/>
    <xf borderId="27" fillId="0" fontId="18" numFmtId="0" xfId="0" applyBorder="1" applyFont="1"/>
    <xf borderId="0" fillId="12" fontId="19" numFmtId="0" xfId="0" applyAlignment="1" applyFill="1" applyFont="1">
      <alignment readingOrder="0"/>
    </xf>
    <xf borderId="0" fillId="12" fontId="19" numFmtId="0" xfId="0" applyFont="1"/>
    <xf borderId="0" fillId="13" fontId="16" numFmtId="0" xfId="0" applyAlignment="1" applyFill="1" applyFont="1">
      <alignment horizontal="left" readingOrder="0"/>
    </xf>
    <xf borderId="0" fillId="4" fontId="2" numFmtId="0" xfId="0" applyFont="1"/>
    <xf borderId="22" fillId="4" fontId="20" numFmtId="168" xfId="0" applyAlignment="1" applyBorder="1" applyFont="1" applyNumberFormat="1">
      <alignment horizontal="center" vertical="center"/>
    </xf>
    <xf borderId="0" fillId="4" fontId="20" numFmtId="168" xfId="0" applyFont="1" applyNumberFormat="1"/>
    <xf borderId="0" fillId="13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Opportunity Hopper-style">
      <tableStyleElement dxfId="1" type="headerRow"/>
      <tableStyleElement dxfId="2" type="firstRowStripe"/>
      <tableStyleElement dxfId="3" type="secondRowStripe"/>
    </tableStyle>
    <tableStyle count="3" pivot="0" name="Business Ca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Potential Saving Against Current Spend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Spend on FTE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[$£-809]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'Business Case - Fundamentals'!$C$16</c:f>
              <c:numCache/>
            </c:numRef>
          </c:val>
        </c:ser>
        <c:ser>
          <c:idx val="1"/>
          <c:order val="1"/>
          <c:tx>
            <c:v>Potential Cost Saving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[$£-809]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'Business Case Dashboard'!$I$3:$I$8</c:f>
              <c:numCache/>
            </c:numRef>
          </c:val>
        </c:ser>
        <c:ser>
          <c:idx val="2"/>
          <c:order val="2"/>
          <c:val>
            <c:numRef>
              <c:f>'Business Case Dashboard'!$H$3:$H$8</c:f>
              <c:numCache/>
            </c:numRef>
          </c:val>
        </c:ser>
        <c:axId val="975000770"/>
        <c:axId val="248855044"/>
      </c:barChart>
      <c:catAx>
        <c:axId val="975000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855044"/>
      </c:catAx>
      <c:valAx>
        <c:axId val="248855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£ Spend on FTE</a:t>
                </a:r>
              </a:p>
            </c:rich>
          </c:tx>
          <c:overlay val="0"/>
        </c:title>
        <c:numFmt formatCode="[$£-809]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000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Potential FTE Reduction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 FTE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'Business Case Dashboard'!$I$3:$I$8</c:f>
            </c:strRef>
          </c:cat>
          <c:val>
            <c:numRef>
              <c:f>'Business Case Dashboard'!$E$3</c:f>
              <c:numCache/>
            </c:numRef>
          </c:val>
        </c:ser>
        <c:ser>
          <c:idx val="1"/>
          <c:order val="1"/>
          <c:tx>
            <c:v>Potential FTE Saving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'Business Case Dashboard'!$I$3:$I$8</c:f>
            </c:strRef>
          </c:cat>
          <c:val>
            <c:numRef>
              <c:f>'Business Case Dashboard'!$I$3:$I$8</c:f>
              <c:numCache/>
            </c:numRef>
          </c:val>
        </c:ser>
        <c:ser>
          <c:idx val="2"/>
          <c:order val="2"/>
          <c:cat>
            <c:strRef>
              <c:f>'Business Case Dashboard'!$I$3:$I$8</c:f>
            </c:strRef>
          </c:cat>
          <c:val>
            <c:numRef>
              <c:f>'Business Case - Fundamentals'!$C$15</c:f>
              <c:numCache/>
            </c:numRef>
          </c:val>
        </c:ser>
        <c:axId val="1105510848"/>
        <c:axId val="1353795630"/>
      </c:barChart>
      <c:catAx>
        <c:axId val="1105510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795630"/>
      </c:catAx>
      <c:valAx>
        <c:axId val="1353795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Number of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5108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Potential Saving Per Opportunity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'Business Case'!$V$1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'Business Case'!$C$2:$C$11</c:f>
            </c:strRef>
          </c:cat>
          <c:val>
            <c:numRef>
              <c:f>'Business Case'!$V$2:$V$11</c:f>
              <c:numCache/>
            </c:numRef>
          </c:val>
        </c:ser>
        <c:ser>
          <c:idx val="2"/>
          <c:order val="2"/>
          <c:tx>
            <c:strRef>
              <c:f>'Business Case'!$A$1</c:f>
            </c:strRef>
          </c:tx>
          <c:cat>
            <c:strRef>
              <c:f>'Business Case'!$C$2:$C$11</c:f>
            </c:strRef>
          </c:cat>
          <c:val>
            <c:numRef>
              <c:f>'Business Case'!$A$2:$A$11</c:f>
              <c:numCache/>
            </c:numRef>
          </c:val>
        </c:ser>
        <c:ser>
          <c:idx val="3"/>
          <c:order val="3"/>
          <c:tx>
            <c:strRef>
              <c:f>'Business Case'!$C$1</c:f>
            </c:strRef>
          </c:tx>
          <c:cat>
            <c:strRef>
              <c:f>'Business Case'!$C$2:$C$11</c:f>
            </c:strRef>
          </c:cat>
          <c:val>
            <c:numRef>
              <c:f>'Business Case'!$C$2:$C$11</c:f>
              <c:numCache/>
            </c:numRef>
          </c:val>
        </c:ser>
        <c:overlap val="100"/>
        <c:axId val="1340076664"/>
        <c:axId val="758082301"/>
      </c:barChart>
      <c:catAx>
        <c:axId val="1340076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082301"/>
      </c:catAx>
      <c:valAx>
        <c:axId val="758082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Potential FTE Saved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076664"/>
      </c:valAx>
      <c:barChart>
        <c:barDir val="col"/>
        <c:grouping val="stacked"/>
        <c:ser>
          <c:idx val="1"/>
          <c:order val="1"/>
          <c:tx>
            <c:strRef>
              <c:f>'Business Case'!$W$1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9"/>
          </c:dPt>
          <c:dLbls>
            <c:numFmt formatCode="[$£-809]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'Business Case'!$C$2:$C$11</c:f>
            </c:strRef>
          </c:cat>
          <c:val>
            <c:numRef>
              <c:f>'Business Case'!$W$2:$W$11</c:f>
              <c:numCache/>
            </c:numRef>
          </c:val>
        </c:ser>
        <c:overlap val="100"/>
        <c:axId val="1918765239"/>
        <c:axId val="1909596703"/>
      </c:barChart>
      <c:catAx>
        <c:axId val="1918765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596703"/>
      </c:catAx>
      <c:valAx>
        <c:axId val="1909596703"/>
        <c:scaling>
          <c:orientation val="minMax"/>
        </c:scaling>
        <c:delete val="0"/>
        <c:axPos val="r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£ Potential Saving on FTEs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87652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161925</xdr:rowOff>
    </xdr:from>
    <xdr:ext cx="5381625" cy="7096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638175</xdr:colOff>
      <xdr:row>9</xdr:row>
      <xdr:rowOff>161925</xdr:rowOff>
    </xdr:from>
    <xdr:ext cx="5381625" cy="7096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1457325</xdr:colOff>
      <xdr:row>9</xdr:row>
      <xdr:rowOff>161925</xdr:rowOff>
    </xdr:from>
    <xdr:ext cx="9124950" cy="7096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X11" displayName="Table1" name="Table1" id="1">
  <tableColumns count="24">
    <tableColumn name="ID" id="1"/>
    <tableColumn name="Aligned to Goal:" id="2"/>
    <tableColumn name="Title" id="3"/>
    <tableColumn name="Description" id="4"/>
    <tableColumn name="Is the process standardised?" id="5"/>
    <tableColumn name="Is the data structured and consistent?" id="6"/>
    <tableColumn name="Does the process require manual intervention?" id="7"/>
    <tableColumn name="Are there frequent exceptions or edge cases?" id="8"/>
    <tableColumn name="Does the process rely on multiple system integrations?" id="9"/>
    <tableColumn name="Complexity_x000a_(AUTO)" id="10"/>
    <tableColumn name="Time to Complete Process (mins)" id="11"/>
    <tableColumn name="Volume (per month)" id="12"/>
    <tableColumn name="Time spent per month (min)" id="13"/>
    <tableColumn name="Time Spent per month (hrs)" id="14"/>
    <tableColumn name="Proposed Solution" id="15"/>
    <tableColumn name="Proposed Vendor" id="16"/>
    <tableColumn name="Process Re-engineering Required?" id="17"/>
    <tableColumn name="Explanation:" id="18"/>
    <tableColumn name="Feasibility" id="19"/>
    <tableColumn name="Key Stakeholder Name" id="20"/>
    <tableColumn name="Key Stakeholder Email" id="21"/>
    <tableColumn name="Date Logged" id="22"/>
    <tableColumn name="Date Signed Off" id="23"/>
    <tableColumn name="Developed by: Business Analyst" id="24"/>
  </tableColumns>
  <tableStyleInfo name="Opportunity Hopper-style" showColumnStripes="0" showFirstColumn="1" showLastColumn="1" showRowStripes="1"/>
</table>
</file>

<file path=xl/tables/table2.xml><?xml version="1.0" encoding="utf-8"?>
<table xmlns="http://schemas.openxmlformats.org/spreadsheetml/2006/main" ref="A1:W11" displayName="Business_Case" name="Business_Case" id="2">
  <tableColumns count="23">
    <tableColumn name="ID" id="1"/>
    <tableColumn name="Aligned to Goal:" id="2"/>
    <tableColumn name="Title" id="3"/>
    <tableColumn name="Description" id="4"/>
    <tableColumn name="Complexity_x000a_(AUTO)" id="5"/>
    <tableColumn name="Time to Complete Process (mins)" id="6"/>
    <tableColumn name="Volume (per month)" id="7"/>
    <tableColumn name="Time spent per month (min)" id="8"/>
    <tableColumn name="Time Spent per month (hrs)" id="9"/>
    <tableColumn name="Proposed Solution" id="10"/>
    <tableColumn name="Process Re-engineering Required?" id="11"/>
    <tableColumn name="Feasibility" id="12"/>
    <tableColumn name="Business Case -&gt;" id="13"/>
    <tableColumn name="Reduction in cases? (%)" id="14"/>
    <tableColumn name="New Total Monthly Case Total" id="15"/>
    <tableColumn name="Estimated Time Saving per case (%)" id="16"/>
    <tableColumn name="New Time Per case (Min)" id="17"/>
    <tableColumn name="Associated Business Team" id="18"/>
    <tableColumn name="Cases Saved Annually" id="19"/>
    <tableColumn name="Time Saved Annually (Min)" id="20"/>
    <tableColumn name="Time Saved Annually (Hrs)" id="21"/>
    <tableColumn name="FTE Saved" id="22"/>
    <tableColumn name="Cost Saved" id="23"/>
  </tableColumns>
  <tableStyleInfo name="Business C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ke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26.38"/>
    <col customWidth="1" min="3" max="3" width="30.63"/>
    <col customWidth="1" min="4" max="4" width="50.63"/>
    <col customWidth="1" min="5" max="5" width="30.63"/>
    <col customWidth="1" min="6" max="6" width="28.88"/>
    <col customWidth="1" min="7" max="7" width="38.38"/>
    <col customWidth="1" min="8" max="8" width="31.88"/>
    <col customWidth="1" min="9" max="9" width="32.13"/>
    <col customWidth="1" min="10" max="10" width="18.63"/>
    <col customWidth="1" min="11" max="11" width="37.63"/>
    <col customWidth="1" min="12" max="12" width="25.88"/>
    <col customWidth="1" min="13" max="14" width="37.63"/>
    <col customWidth="1" min="15" max="15" width="22.5"/>
    <col customWidth="1" min="16" max="16" width="21.88"/>
    <col customWidth="1" min="17" max="17" width="27.0"/>
    <col customWidth="1" min="18" max="18" width="26.38"/>
    <col customWidth="1" min="19" max="19" width="17.75"/>
    <col customWidth="1" min="20" max="20" width="18.63"/>
    <col customWidth="1" min="21" max="21" width="23.5"/>
    <col customWidth="1" min="23" max="23" width="17.88"/>
    <col customWidth="1" min="24" max="24" width="21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2" t="s">
        <v>23</v>
      </c>
    </row>
    <row r="2">
      <c r="A2" s="13" t="s">
        <v>24</v>
      </c>
      <c r="B2" s="14" t="s">
        <v>25</v>
      </c>
      <c r="C2" s="15" t="s">
        <v>26</v>
      </c>
      <c r="D2" s="15" t="s">
        <v>27</v>
      </c>
      <c r="E2" s="16" t="s">
        <v>28</v>
      </c>
      <c r="F2" s="16" t="s">
        <v>28</v>
      </c>
      <c r="G2" s="16" t="s">
        <v>29</v>
      </c>
      <c r="H2" s="16" t="s">
        <v>29</v>
      </c>
      <c r="I2" s="16" t="s">
        <v>28</v>
      </c>
      <c r="J2" s="17" t="str">
        <f t="shared" ref="J2:J11" si="1">IF(COUNTIF(E2:I2, "Low") &gt; COUNTIF(E2:I2, "Medium"), 
    IF(COUNTIF(E2:I2, "Low") &gt; COUNTIF(E2:I2, "High"), 
        "Low", 
        IF(COUNTIF(E2:I2, "Low") = COUNTIF(E2:I2, "High"), "Medium", "High")
    ), 
    IF(COUNTIF(E2:I2, "Medium") &gt;= COUNTIF(E2:I2, "High"), 
        "Medium", 
        "High"
    )
)</f>
        <v>Low</v>
      </c>
      <c r="K2" s="18">
        <f>8*60</f>
        <v>480</v>
      </c>
      <c r="L2" s="19">
        <v>1000.0</v>
      </c>
      <c r="M2" s="18">
        <f t="shared" ref="M2:M11" si="2">L2*K2</f>
        <v>480000</v>
      </c>
      <c r="N2" s="20">
        <f t="shared" ref="N2:N11" si="3">M2/60</f>
        <v>8000</v>
      </c>
      <c r="O2" s="21" t="s">
        <v>30</v>
      </c>
      <c r="P2" s="14" t="s">
        <v>31</v>
      </c>
      <c r="Q2" s="21" t="s">
        <v>32</v>
      </c>
      <c r="R2" s="22"/>
      <c r="S2" s="16" t="s">
        <v>33</v>
      </c>
      <c r="T2" s="14" t="s">
        <v>34</v>
      </c>
      <c r="U2" s="14" t="s">
        <v>35</v>
      </c>
      <c r="V2" s="14" t="s">
        <v>36</v>
      </c>
      <c r="W2" s="14" t="s">
        <v>37</v>
      </c>
      <c r="X2" s="23" t="s">
        <v>34</v>
      </c>
    </row>
    <row r="3">
      <c r="A3" s="24" t="s">
        <v>38</v>
      </c>
      <c r="B3" s="25" t="s">
        <v>39</v>
      </c>
      <c r="C3" s="26" t="s">
        <v>40</v>
      </c>
      <c r="D3" s="26" t="s">
        <v>41</v>
      </c>
      <c r="E3" s="27" t="s">
        <v>29</v>
      </c>
      <c r="F3" s="27" t="s">
        <v>29</v>
      </c>
      <c r="G3" s="27" t="s">
        <v>28</v>
      </c>
      <c r="H3" s="27" t="s">
        <v>28</v>
      </c>
      <c r="I3" s="27" t="s">
        <v>28</v>
      </c>
      <c r="J3" s="28" t="str">
        <f t="shared" si="1"/>
        <v>Low</v>
      </c>
      <c r="K3" s="29">
        <v>120.0</v>
      </c>
      <c r="L3" s="30">
        <v>500.0</v>
      </c>
      <c r="M3" s="29">
        <f t="shared" si="2"/>
        <v>60000</v>
      </c>
      <c r="N3" s="31">
        <f t="shared" si="3"/>
        <v>1000</v>
      </c>
      <c r="O3" s="32" t="s">
        <v>30</v>
      </c>
      <c r="P3" s="25" t="s">
        <v>42</v>
      </c>
      <c r="Q3" s="32" t="s">
        <v>43</v>
      </c>
      <c r="R3" s="33"/>
      <c r="S3" s="27" t="s">
        <v>29</v>
      </c>
      <c r="T3" s="25" t="s">
        <v>34</v>
      </c>
      <c r="U3" s="25" t="s">
        <v>35</v>
      </c>
      <c r="V3" s="25" t="s">
        <v>36</v>
      </c>
      <c r="W3" s="25" t="s">
        <v>37</v>
      </c>
      <c r="X3" s="34" t="s">
        <v>34</v>
      </c>
    </row>
    <row r="4">
      <c r="A4" s="13" t="s">
        <v>44</v>
      </c>
      <c r="B4" s="14" t="s">
        <v>45</v>
      </c>
      <c r="C4" s="15" t="s">
        <v>46</v>
      </c>
      <c r="D4" s="15" t="s">
        <v>47</v>
      </c>
      <c r="E4" s="16" t="s">
        <v>28</v>
      </c>
      <c r="F4" s="16" t="s">
        <v>28</v>
      </c>
      <c r="G4" s="16" t="s">
        <v>28</v>
      </c>
      <c r="H4" s="16" t="s">
        <v>28</v>
      </c>
      <c r="I4" s="16" t="s">
        <v>28</v>
      </c>
      <c r="J4" s="17" t="str">
        <f t="shared" si="1"/>
        <v>Low</v>
      </c>
      <c r="K4" s="18">
        <f>3*60</f>
        <v>180</v>
      </c>
      <c r="L4" s="19">
        <v>50.0</v>
      </c>
      <c r="M4" s="18">
        <f t="shared" si="2"/>
        <v>9000</v>
      </c>
      <c r="N4" s="20">
        <f t="shared" si="3"/>
        <v>150</v>
      </c>
      <c r="O4" s="21" t="s">
        <v>48</v>
      </c>
      <c r="P4" s="14" t="s">
        <v>49</v>
      </c>
      <c r="Q4" s="21" t="s">
        <v>32</v>
      </c>
      <c r="R4" s="22"/>
      <c r="S4" s="16" t="s">
        <v>33</v>
      </c>
      <c r="T4" s="14" t="s">
        <v>34</v>
      </c>
      <c r="U4" s="14" t="s">
        <v>35</v>
      </c>
      <c r="V4" s="14" t="s">
        <v>36</v>
      </c>
      <c r="W4" s="14" t="s">
        <v>37</v>
      </c>
      <c r="X4" s="23" t="s">
        <v>34</v>
      </c>
    </row>
    <row r="5">
      <c r="A5" s="24" t="s">
        <v>50</v>
      </c>
      <c r="B5" s="25" t="s">
        <v>51</v>
      </c>
      <c r="C5" s="26" t="s">
        <v>52</v>
      </c>
      <c r="D5" s="26" t="s">
        <v>53</v>
      </c>
      <c r="E5" s="27" t="s">
        <v>28</v>
      </c>
      <c r="F5" s="27" t="s">
        <v>29</v>
      </c>
      <c r="G5" s="27" t="s">
        <v>33</v>
      </c>
      <c r="H5" s="27" t="s">
        <v>28</v>
      </c>
      <c r="I5" s="27" t="s">
        <v>28</v>
      </c>
      <c r="J5" s="28" t="str">
        <f t="shared" si="1"/>
        <v>Low</v>
      </c>
      <c r="K5" s="29">
        <v>5.0</v>
      </c>
      <c r="L5" s="30">
        <v>2000.0</v>
      </c>
      <c r="M5" s="29">
        <f t="shared" si="2"/>
        <v>10000</v>
      </c>
      <c r="N5" s="31">
        <f t="shared" si="3"/>
        <v>166.6666667</v>
      </c>
      <c r="O5" s="32" t="s">
        <v>54</v>
      </c>
      <c r="P5" s="25" t="s">
        <v>55</v>
      </c>
      <c r="Q5" s="32" t="s">
        <v>43</v>
      </c>
      <c r="R5" s="33"/>
      <c r="S5" s="27" t="s">
        <v>33</v>
      </c>
      <c r="T5" s="25" t="s">
        <v>34</v>
      </c>
      <c r="U5" s="25" t="s">
        <v>35</v>
      </c>
      <c r="V5" s="25" t="s">
        <v>36</v>
      </c>
      <c r="W5" s="25" t="s">
        <v>37</v>
      </c>
      <c r="X5" s="34" t="s">
        <v>34</v>
      </c>
    </row>
    <row r="6">
      <c r="A6" s="13" t="s">
        <v>56</v>
      </c>
      <c r="B6" s="14" t="s">
        <v>57</v>
      </c>
      <c r="C6" s="15" t="s">
        <v>58</v>
      </c>
      <c r="D6" s="15" t="s">
        <v>59</v>
      </c>
      <c r="E6" s="16" t="s">
        <v>29</v>
      </c>
      <c r="F6" s="16" t="s">
        <v>29</v>
      </c>
      <c r="G6" s="16" t="s">
        <v>29</v>
      </c>
      <c r="H6" s="16" t="s">
        <v>29</v>
      </c>
      <c r="I6" s="16" t="s">
        <v>29</v>
      </c>
      <c r="J6" s="17" t="str">
        <f t="shared" si="1"/>
        <v>Medium</v>
      </c>
      <c r="K6" s="18">
        <v>20.0</v>
      </c>
      <c r="L6" s="19">
        <v>300.0</v>
      </c>
      <c r="M6" s="18">
        <f t="shared" si="2"/>
        <v>6000</v>
      </c>
      <c r="N6" s="20">
        <f t="shared" si="3"/>
        <v>100</v>
      </c>
      <c r="O6" s="21" t="s">
        <v>30</v>
      </c>
      <c r="P6" s="35" t="s">
        <v>60</v>
      </c>
      <c r="Q6" s="21" t="s">
        <v>32</v>
      </c>
      <c r="R6" s="22"/>
      <c r="S6" s="16" t="s">
        <v>29</v>
      </c>
      <c r="T6" s="14" t="s">
        <v>34</v>
      </c>
      <c r="U6" s="14" t="s">
        <v>35</v>
      </c>
      <c r="V6" s="14" t="s">
        <v>36</v>
      </c>
      <c r="W6" s="14" t="s">
        <v>37</v>
      </c>
      <c r="X6" s="23" t="s">
        <v>34</v>
      </c>
    </row>
    <row r="7">
      <c r="A7" s="24" t="s">
        <v>61</v>
      </c>
      <c r="B7" s="25" t="s">
        <v>62</v>
      </c>
      <c r="C7" s="26" t="s">
        <v>63</v>
      </c>
      <c r="D7" s="26" t="s">
        <v>64</v>
      </c>
      <c r="E7" s="27" t="s">
        <v>28</v>
      </c>
      <c r="F7" s="27" t="s">
        <v>28</v>
      </c>
      <c r="G7" s="27" t="s">
        <v>28</v>
      </c>
      <c r="H7" s="27" t="s">
        <v>28</v>
      </c>
      <c r="I7" s="27" t="s">
        <v>28</v>
      </c>
      <c r="J7" s="28" t="str">
        <f t="shared" si="1"/>
        <v>Low</v>
      </c>
      <c r="K7" s="29">
        <v>50.0</v>
      </c>
      <c r="L7" s="30">
        <v>1500.0</v>
      </c>
      <c r="M7" s="29">
        <f t="shared" si="2"/>
        <v>75000</v>
      </c>
      <c r="N7" s="31">
        <f t="shared" si="3"/>
        <v>1250</v>
      </c>
      <c r="O7" s="32" t="s">
        <v>30</v>
      </c>
      <c r="P7" s="25" t="s">
        <v>65</v>
      </c>
      <c r="Q7" s="32" t="s">
        <v>32</v>
      </c>
      <c r="R7" s="33"/>
      <c r="S7" s="27" t="s">
        <v>33</v>
      </c>
      <c r="T7" s="25" t="s">
        <v>34</v>
      </c>
      <c r="U7" s="25" t="s">
        <v>35</v>
      </c>
      <c r="V7" s="25" t="s">
        <v>36</v>
      </c>
      <c r="W7" s="25" t="s">
        <v>37</v>
      </c>
      <c r="X7" s="34" t="s">
        <v>34</v>
      </c>
    </row>
    <row r="8">
      <c r="A8" s="13" t="s">
        <v>66</v>
      </c>
      <c r="B8" s="14" t="s">
        <v>62</v>
      </c>
      <c r="C8" s="15" t="s">
        <v>67</v>
      </c>
      <c r="D8" s="15" t="s">
        <v>68</v>
      </c>
      <c r="E8" s="16" t="s">
        <v>33</v>
      </c>
      <c r="F8" s="16" t="s">
        <v>33</v>
      </c>
      <c r="G8" s="16" t="s">
        <v>33</v>
      </c>
      <c r="H8" s="16" t="s">
        <v>33</v>
      </c>
      <c r="I8" s="16" t="s">
        <v>33</v>
      </c>
      <c r="J8" s="17" t="str">
        <f t="shared" si="1"/>
        <v>High</v>
      </c>
      <c r="K8" s="18">
        <v>30.0</v>
      </c>
      <c r="L8" s="19">
        <v>400.0</v>
      </c>
      <c r="M8" s="18">
        <f t="shared" si="2"/>
        <v>12000</v>
      </c>
      <c r="N8" s="20">
        <f t="shared" si="3"/>
        <v>200</v>
      </c>
      <c r="O8" s="21" t="s">
        <v>54</v>
      </c>
      <c r="P8" s="14" t="s">
        <v>69</v>
      </c>
      <c r="Q8" s="21" t="s">
        <v>43</v>
      </c>
      <c r="R8" s="22"/>
      <c r="S8" s="16" t="s">
        <v>29</v>
      </c>
      <c r="T8" s="14" t="s">
        <v>34</v>
      </c>
      <c r="U8" s="14" t="s">
        <v>35</v>
      </c>
      <c r="V8" s="14" t="s">
        <v>36</v>
      </c>
      <c r="W8" s="14" t="s">
        <v>37</v>
      </c>
      <c r="X8" s="23" t="s">
        <v>34</v>
      </c>
    </row>
    <row r="9">
      <c r="A9" s="24" t="s">
        <v>70</v>
      </c>
      <c r="B9" s="25" t="s">
        <v>62</v>
      </c>
      <c r="C9" s="26" t="s">
        <v>71</v>
      </c>
      <c r="D9" s="26" t="s">
        <v>72</v>
      </c>
      <c r="E9" s="27" t="s">
        <v>28</v>
      </c>
      <c r="F9" s="27" t="s">
        <v>28</v>
      </c>
      <c r="G9" s="27" t="s">
        <v>28</v>
      </c>
      <c r="H9" s="27" t="s">
        <v>28</v>
      </c>
      <c r="I9" s="27" t="s">
        <v>28</v>
      </c>
      <c r="J9" s="28" t="str">
        <f t="shared" si="1"/>
        <v>Low</v>
      </c>
      <c r="K9" s="29">
        <v>40.0</v>
      </c>
      <c r="L9" s="30">
        <v>200.0</v>
      </c>
      <c r="M9" s="29">
        <f t="shared" si="2"/>
        <v>8000</v>
      </c>
      <c r="N9" s="31">
        <f t="shared" si="3"/>
        <v>133.3333333</v>
      </c>
      <c r="O9" s="32" t="s">
        <v>54</v>
      </c>
      <c r="P9" s="25" t="s">
        <v>73</v>
      </c>
      <c r="Q9" s="32" t="s">
        <v>43</v>
      </c>
      <c r="R9" s="33"/>
      <c r="S9" s="27" t="s">
        <v>29</v>
      </c>
      <c r="T9" s="25" t="s">
        <v>34</v>
      </c>
      <c r="U9" s="25" t="s">
        <v>35</v>
      </c>
      <c r="V9" s="25" t="s">
        <v>36</v>
      </c>
      <c r="W9" s="25" t="s">
        <v>37</v>
      </c>
      <c r="X9" s="34" t="s">
        <v>34</v>
      </c>
    </row>
    <row r="10">
      <c r="A10" s="13" t="s">
        <v>74</v>
      </c>
      <c r="B10" s="14" t="s">
        <v>62</v>
      </c>
      <c r="C10" s="15" t="s">
        <v>75</v>
      </c>
      <c r="D10" s="15" t="s">
        <v>76</v>
      </c>
      <c r="E10" s="16" t="s">
        <v>28</v>
      </c>
      <c r="F10" s="16" t="s">
        <v>28</v>
      </c>
      <c r="G10" s="16" t="s">
        <v>29</v>
      </c>
      <c r="H10" s="16" t="s">
        <v>33</v>
      </c>
      <c r="I10" s="16" t="s">
        <v>28</v>
      </c>
      <c r="J10" s="17" t="str">
        <f t="shared" si="1"/>
        <v>Low</v>
      </c>
      <c r="K10" s="18">
        <f>60*6</f>
        <v>360</v>
      </c>
      <c r="L10" s="19">
        <v>600.0</v>
      </c>
      <c r="M10" s="18">
        <f t="shared" si="2"/>
        <v>216000</v>
      </c>
      <c r="N10" s="20">
        <f t="shared" si="3"/>
        <v>3600</v>
      </c>
      <c r="O10" s="21" t="s">
        <v>48</v>
      </c>
      <c r="P10" s="14" t="s">
        <v>62</v>
      </c>
      <c r="Q10" s="21" t="s">
        <v>43</v>
      </c>
      <c r="R10" s="22"/>
      <c r="S10" s="16" t="s">
        <v>29</v>
      </c>
      <c r="T10" s="14" t="s">
        <v>34</v>
      </c>
      <c r="U10" s="14" t="s">
        <v>35</v>
      </c>
      <c r="V10" s="14" t="s">
        <v>36</v>
      </c>
      <c r="W10" s="14" t="s">
        <v>37</v>
      </c>
      <c r="X10" s="23" t="s">
        <v>34</v>
      </c>
    </row>
    <row r="11">
      <c r="A11" s="36" t="s">
        <v>77</v>
      </c>
      <c r="B11" s="37" t="s">
        <v>62</v>
      </c>
      <c r="C11" s="38" t="s">
        <v>78</v>
      </c>
      <c r="D11" s="38" t="s">
        <v>79</v>
      </c>
      <c r="E11" s="39" t="s">
        <v>28</v>
      </c>
      <c r="F11" s="39" t="s">
        <v>28</v>
      </c>
      <c r="G11" s="39" t="s">
        <v>28</v>
      </c>
      <c r="H11" s="39" t="s">
        <v>28</v>
      </c>
      <c r="I11" s="39" t="s">
        <v>28</v>
      </c>
      <c r="J11" s="40" t="str">
        <f t="shared" si="1"/>
        <v>Low</v>
      </c>
      <c r="K11" s="41">
        <f>10*8*60</f>
        <v>4800</v>
      </c>
      <c r="L11" s="42">
        <v>1000.0</v>
      </c>
      <c r="M11" s="41">
        <f t="shared" si="2"/>
        <v>4800000</v>
      </c>
      <c r="N11" s="43">
        <f t="shared" si="3"/>
        <v>80000</v>
      </c>
      <c r="O11" s="44" t="s">
        <v>48</v>
      </c>
      <c r="P11" s="37" t="s">
        <v>62</v>
      </c>
      <c r="Q11" s="44" t="s">
        <v>43</v>
      </c>
      <c r="R11" s="45"/>
      <c r="S11" s="39" t="s">
        <v>33</v>
      </c>
      <c r="T11" s="37" t="s">
        <v>34</v>
      </c>
      <c r="U11" s="37" t="s">
        <v>35</v>
      </c>
      <c r="V11" s="37" t="s">
        <v>36</v>
      </c>
      <c r="W11" s="37" t="s">
        <v>37</v>
      </c>
      <c r="X11" s="46" t="s">
        <v>34</v>
      </c>
    </row>
  </sheetData>
  <dataValidations>
    <dataValidation type="list" allowBlank="1" sqref="J2:J11">
      <formula1>"Medium,Low,High"</formula1>
    </dataValidation>
    <dataValidation type="list" allowBlank="1" sqref="Q2:Q11">
      <formula1>"Yes,No"</formula1>
    </dataValidation>
    <dataValidation type="custom" allowBlank="1" showDropDown="1" sqref="K2:N11">
      <formula1>AND(ISNUMBER(K2),(NOT(OR(NOT(ISERROR(DATEVALUE(K2))), AND(ISNUMBER(K2), LEFT(CELL("format", K2))="D")))))</formula1>
    </dataValidation>
    <dataValidation type="list" allowBlank="1" sqref="O2:O11">
      <formula1>"AI,Automation,Chatbot"</formula1>
    </dataValidation>
    <dataValidation type="list" allowBlank="1" sqref="S2:S11">
      <formula1>"High,Medium,Low"</formula1>
    </dataValidation>
    <dataValidation type="list" allowBlank="1" sqref="E2:I11">
      <formula1>"Medium,Low,High"</formula1>
    </dataValidation>
  </dataValidations>
  <hyperlinks>
    <hyperlink r:id="rId1" ref="P6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8.63"/>
    <col customWidth="1" min="3" max="3" width="15.63"/>
    <col customWidth="1" min="5" max="5" width="3.88"/>
    <col customWidth="1" min="6" max="6" width="19.13"/>
    <col customWidth="1" min="7" max="7" width="16.5"/>
    <col customWidth="1" min="9" max="9" width="3.88"/>
    <col customWidth="1" min="10" max="10" width="18.0"/>
  </cols>
  <sheetData>
    <row r="3">
      <c r="B3" s="47" t="s">
        <v>80</v>
      </c>
    </row>
    <row r="5">
      <c r="B5" s="48" t="s">
        <v>81</v>
      </c>
      <c r="C5" s="49">
        <v>261.0</v>
      </c>
      <c r="D5" s="48" t="s">
        <v>82</v>
      </c>
    </row>
    <row r="6">
      <c r="B6" s="48" t="s">
        <v>83</v>
      </c>
      <c r="C6" s="49">
        <v>25.0</v>
      </c>
      <c r="D6" s="48" t="s">
        <v>82</v>
      </c>
    </row>
    <row r="7">
      <c r="B7" s="48" t="s">
        <v>84</v>
      </c>
      <c r="C7" s="50">
        <f>C5-C6</f>
        <v>236</v>
      </c>
      <c r="D7" s="48" t="s">
        <v>85</v>
      </c>
    </row>
    <row r="8">
      <c r="B8" s="48" t="s">
        <v>86</v>
      </c>
      <c r="C8" s="49">
        <v>8.0</v>
      </c>
      <c r="D8" s="48" t="s">
        <v>82</v>
      </c>
    </row>
    <row r="9">
      <c r="B9" s="48" t="s">
        <v>87</v>
      </c>
      <c r="C9" s="50">
        <f>C8*C7</f>
        <v>1888</v>
      </c>
      <c r="D9" s="48" t="s">
        <v>85</v>
      </c>
    </row>
    <row r="11">
      <c r="B11" s="48" t="s">
        <v>88</v>
      </c>
      <c r="C11" s="51">
        <v>0.72</v>
      </c>
      <c r="D11" s="48" t="s">
        <v>82</v>
      </c>
    </row>
    <row r="12">
      <c r="B12" s="48" t="s">
        <v>89</v>
      </c>
      <c r="C12" s="52">
        <f>C9*C11</f>
        <v>1359.36</v>
      </c>
      <c r="D12" s="48" t="s">
        <v>85</v>
      </c>
    </row>
    <row r="13">
      <c r="C13" s="48"/>
    </row>
    <row r="14">
      <c r="B14" s="48"/>
      <c r="C14" s="48"/>
      <c r="D14" s="48"/>
    </row>
    <row r="15">
      <c r="B15" s="48" t="s">
        <v>90</v>
      </c>
      <c r="C15" s="52">
        <f>SUM(C19+G19+K19)</f>
        <v>75</v>
      </c>
      <c r="D15" s="48" t="s">
        <v>85</v>
      </c>
    </row>
    <row r="16">
      <c r="B16" s="48" t="s">
        <v>91</v>
      </c>
      <c r="C16" s="52">
        <f>C21+G21+K21</f>
        <v>3975000</v>
      </c>
      <c r="D16" s="48" t="s">
        <v>85</v>
      </c>
    </row>
    <row r="18">
      <c r="B18" s="53" t="s">
        <v>92</v>
      </c>
      <c r="F18" s="53" t="s">
        <v>93</v>
      </c>
      <c r="J18" s="53" t="s">
        <v>94</v>
      </c>
    </row>
    <row r="19">
      <c r="B19" s="48" t="s">
        <v>95</v>
      </c>
      <c r="C19" s="54">
        <v>30.0</v>
      </c>
      <c r="D19" s="48" t="s">
        <v>82</v>
      </c>
      <c r="F19" s="48" t="s">
        <v>95</v>
      </c>
      <c r="G19" s="54">
        <v>30.0</v>
      </c>
      <c r="H19" s="48" t="s">
        <v>82</v>
      </c>
      <c r="J19" s="48" t="s">
        <v>95</v>
      </c>
      <c r="K19" s="54">
        <v>15.0</v>
      </c>
      <c r="L19" s="48" t="s">
        <v>82</v>
      </c>
    </row>
    <row r="20">
      <c r="B20" s="48" t="s">
        <v>96</v>
      </c>
      <c r="C20" s="55">
        <v>35000.0</v>
      </c>
      <c r="D20" s="48" t="s">
        <v>82</v>
      </c>
      <c r="F20" s="48" t="s">
        <v>96</v>
      </c>
      <c r="G20" s="55">
        <v>70000.0</v>
      </c>
      <c r="H20" s="48" t="s">
        <v>82</v>
      </c>
      <c r="J20" s="48" t="s">
        <v>96</v>
      </c>
      <c r="K20" s="55">
        <v>55000.0</v>
      </c>
      <c r="L20" s="48" t="s">
        <v>82</v>
      </c>
    </row>
    <row r="21">
      <c r="B21" s="48" t="s">
        <v>97</v>
      </c>
      <c r="C21" s="56">
        <f>C20*C19</f>
        <v>1050000</v>
      </c>
      <c r="D21" s="48" t="s">
        <v>85</v>
      </c>
      <c r="F21" s="48" t="s">
        <v>97</v>
      </c>
      <c r="G21" s="56">
        <f>G20*G19</f>
        <v>2100000</v>
      </c>
      <c r="H21" s="48" t="s">
        <v>85</v>
      </c>
      <c r="J21" s="48" t="s">
        <v>97</v>
      </c>
      <c r="K21" s="56">
        <f>K20*K19</f>
        <v>825000</v>
      </c>
      <c r="L21" s="48" t="s">
        <v>85</v>
      </c>
    </row>
    <row r="23">
      <c r="B23" s="48" t="s">
        <v>98</v>
      </c>
      <c r="C23" s="57">
        <f>C20/$C$12</f>
        <v>25.74741055</v>
      </c>
      <c r="D23" s="48" t="s">
        <v>85</v>
      </c>
      <c r="F23" s="48" t="s">
        <v>98</v>
      </c>
      <c r="G23" s="57">
        <f>G20/$C$12</f>
        <v>51.49482109</v>
      </c>
      <c r="H23" s="48" t="s">
        <v>85</v>
      </c>
      <c r="J23" s="48" t="s">
        <v>98</v>
      </c>
      <c r="K23" s="57">
        <f>K20/$C$12</f>
        <v>40.46021657</v>
      </c>
      <c r="L23" s="48" t="s">
        <v>85</v>
      </c>
    </row>
    <row r="24">
      <c r="B24" s="48" t="s">
        <v>99</v>
      </c>
      <c r="C24" s="57">
        <f>C23/60</f>
        <v>0.4291235091</v>
      </c>
      <c r="D24" s="48" t="s">
        <v>85</v>
      </c>
      <c r="F24" s="48" t="s">
        <v>99</v>
      </c>
      <c r="G24" s="57">
        <f>G23/60</f>
        <v>0.8582470182</v>
      </c>
      <c r="H24" s="48" t="s">
        <v>85</v>
      </c>
      <c r="J24" s="48" t="s">
        <v>99</v>
      </c>
      <c r="K24" s="57">
        <f>K23/60</f>
        <v>0.6743369429</v>
      </c>
      <c r="L24" s="48" t="s">
        <v>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3.63"/>
    <col customWidth="1" min="3" max="3" width="29.88"/>
    <col customWidth="1" min="4" max="4" width="45.13"/>
    <col customWidth="1" min="5" max="5" width="18.63"/>
    <col customWidth="1" min="6" max="6" width="24.13"/>
    <col customWidth="1" min="7" max="7" width="19.25"/>
    <col customWidth="1" min="8" max="8" width="21.75"/>
    <col customWidth="1" min="9" max="9" width="21.88"/>
    <col customWidth="1" min="10" max="10" width="18.0"/>
    <col customWidth="1" min="11" max="11" width="26.75"/>
    <col customWidth="1" min="12" max="12" width="21.25"/>
    <col customWidth="1" min="13" max="13" width="18.25"/>
    <col customWidth="1" min="14" max="14" width="18.0"/>
    <col customWidth="1" min="15" max="15" width="24.38"/>
    <col customWidth="1" min="16" max="16" width="24.88"/>
    <col customWidth="1" min="17" max="17" width="23.13"/>
    <col customWidth="1" min="18" max="18" width="20.13"/>
    <col customWidth="1" min="19" max="19" width="19.38"/>
    <col customWidth="1" min="20" max="21" width="20.13"/>
    <col customWidth="1" min="22" max="22" width="13.25"/>
    <col customWidth="1" min="23" max="23" width="16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5" t="s">
        <v>9</v>
      </c>
      <c r="F1" s="58" t="s">
        <v>10</v>
      </c>
      <c r="G1" s="58" t="s">
        <v>11</v>
      </c>
      <c r="H1" s="59" t="s">
        <v>12</v>
      </c>
      <c r="I1" s="59" t="s">
        <v>13</v>
      </c>
      <c r="J1" s="60" t="s">
        <v>14</v>
      </c>
      <c r="K1" s="60" t="s">
        <v>16</v>
      </c>
      <c r="L1" s="61" t="s">
        <v>18</v>
      </c>
      <c r="M1" s="62" t="s">
        <v>100</v>
      </c>
      <c r="N1" s="63" t="s">
        <v>101</v>
      </c>
      <c r="O1" s="63" t="s">
        <v>102</v>
      </c>
      <c r="P1" s="63" t="s">
        <v>103</v>
      </c>
      <c r="Q1" s="63" t="s">
        <v>104</v>
      </c>
      <c r="R1" s="63" t="s">
        <v>105</v>
      </c>
      <c r="S1" s="63" t="s">
        <v>106</v>
      </c>
      <c r="T1" s="63" t="s">
        <v>107</v>
      </c>
      <c r="U1" s="63" t="s">
        <v>108</v>
      </c>
      <c r="V1" s="63" t="s">
        <v>109</v>
      </c>
      <c r="W1" s="64" t="s">
        <v>110</v>
      </c>
      <c r="X1" s="65"/>
      <c r="Y1" s="65"/>
      <c r="Z1" s="65"/>
      <c r="AA1" s="65"/>
      <c r="AB1" s="65"/>
      <c r="AC1" s="65"/>
      <c r="AD1" s="65"/>
      <c r="AE1" s="65"/>
    </row>
    <row r="2">
      <c r="A2" s="13" t="s">
        <v>77</v>
      </c>
      <c r="B2" s="14" t="str">
        <f>VLOOKUP(A2,Table1[],2)</f>
        <v>Example</v>
      </c>
      <c r="C2" s="14" t="str">
        <f>VLOOKUP(A2,Table1[],3)</f>
        <v>Appointment Scheduling AI</v>
      </c>
      <c r="D2" s="14" t="str">
        <f>VLOOKUP(A2,Table1[],4)</f>
        <v>AI-powered scheduling assistant for appointments.</v>
      </c>
      <c r="E2" s="17" t="str">
        <f>VLOOKUP(A2,Table1[],10)</f>
        <v>Low</v>
      </c>
      <c r="F2" s="66">
        <f>VLOOKUP(A2,Table1[],11)</f>
        <v>4800</v>
      </c>
      <c r="G2" s="66">
        <f>VLOOKUP(A2,Table1[],12)</f>
        <v>1000</v>
      </c>
      <c r="H2" s="66">
        <f>VLOOKUP(A2,Table1[],13)</f>
        <v>4800000</v>
      </c>
      <c r="I2" s="66">
        <f>VLOOKUP(A2,Table1[],14)</f>
        <v>80000</v>
      </c>
      <c r="J2" s="67" t="str">
        <f>VLOOKUP(A2,Table1[],15)</f>
        <v>Chatbot</v>
      </c>
      <c r="K2" s="68" t="str">
        <f>VLOOKUP(A2,Table1[],17)</f>
        <v>No</v>
      </c>
      <c r="L2" s="69" t="str">
        <f>VLOOKUP(A2,Table1[],19)</f>
        <v>High</v>
      </c>
      <c r="M2" s="70"/>
      <c r="N2" s="71">
        <v>0.2</v>
      </c>
      <c r="O2" s="72">
        <f t="shared" ref="O2:O11" si="1">(1-N2)*G2</f>
        <v>800</v>
      </c>
      <c r="P2" s="71">
        <v>0.03</v>
      </c>
      <c r="Q2" s="72">
        <f t="shared" ref="Q2:Q11" si="2">(1-P2)*F2</f>
        <v>4656</v>
      </c>
      <c r="R2" s="21" t="s">
        <v>111</v>
      </c>
      <c r="S2" s="73">
        <f t="shared" ref="S2:S11" si="3">(G2-O2)*12</f>
        <v>2400</v>
      </c>
      <c r="T2" s="73">
        <f t="shared" ref="T2:T11" si="4">(F2-Q2)*(O2*12)</f>
        <v>1382400</v>
      </c>
      <c r="U2" s="73">
        <f t="shared" ref="U2:U11" si="5">T2/60</f>
        <v>23040</v>
      </c>
      <c r="V2" s="73">
        <f>U2/'Business Case - Fundamentals'!$C$12</f>
        <v>16.94915254</v>
      </c>
      <c r="W2" s="74">
        <f>IF(R2="Business Team 1", 'Business Case - Fundamentals'!$C$20 * V2, 
    IF(R2="Business Team 2", 'Business Case - Fundamentals'!$G$20 * V2, 
        IF(R2="Business Team 3", 'Business Case - Fundamentals'!$K$20 * V2, 
            "No Match")))</f>
        <v>1186440.678</v>
      </c>
    </row>
    <row r="3">
      <c r="A3" s="24" t="s">
        <v>24</v>
      </c>
      <c r="B3" s="25" t="str">
        <f>VLOOKUP(A3,Table1[],2)</f>
        <v>Make More money</v>
      </c>
      <c r="C3" s="25" t="str">
        <f>VLOOKUP(A3,Table1[],3)</f>
        <v>Automate Customer Support FAQs</v>
      </c>
      <c r="D3" s="25" t="str">
        <f>VLOOKUP(A3,Table1[],4)</f>
        <v>Deploy a chatbot to handle common customer queries.</v>
      </c>
      <c r="E3" s="28" t="str">
        <f>VLOOKUP(A3,Table1[],10)</f>
        <v>Low</v>
      </c>
      <c r="F3" s="66">
        <f>VLOOKUP(A3,Table1[],11)</f>
        <v>480</v>
      </c>
      <c r="G3" s="66">
        <f>VLOOKUP(A3,Table1[],12)</f>
        <v>1000</v>
      </c>
      <c r="H3" s="66">
        <f>VLOOKUP(A3,Table1[],13)</f>
        <v>480000</v>
      </c>
      <c r="I3" s="66">
        <f>VLOOKUP(A3,Table1[],14)</f>
        <v>8000</v>
      </c>
      <c r="J3" s="67" t="str">
        <f>VLOOKUP(A3,Table1[],15)</f>
        <v>Automation</v>
      </c>
      <c r="K3" s="68" t="str">
        <f>VLOOKUP(A3,Table1[],17)</f>
        <v>Yes</v>
      </c>
      <c r="L3" s="69" t="str">
        <f>VLOOKUP(A3,Table1[],19)</f>
        <v>High</v>
      </c>
      <c r="M3" s="70"/>
      <c r="N3" s="75">
        <v>0.5</v>
      </c>
      <c r="O3" s="76">
        <f t="shared" si="1"/>
        <v>500</v>
      </c>
      <c r="P3" s="75">
        <v>0.2</v>
      </c>
      <c r="Q3" s="76">
        <f t="shared" si="2"/>
        <v>384</v>
      </c>
      <c r="R3" s="32" t="s">
        <v>111</v>
      </c>
      <c r="S3" s="77">
        <f t="shared" si="3"/>
        <v>6000</v>
      </c>
      <c r="T3" s="77">
        <f t="shared" si="4"/>
        <v>576000</v>
      </c>
      <c r="U3" s="77">
        <f t="shared" si="5"/>
        <v>9600</v>
      </c>
      <c r="V3" s="77">
        <f>U3/'Business Case - Fundamentals'!$C$12</f>
        <v>7.062146893</v>
      </c>
      <c r="W3" s="78">
        <f>IF(R3="Business Team 1", 'Business Case - Fundamentals'!$C$20 * V3, 
    IF(R3="Business Team 2", 'Business Case - Fundamentals'!$G$20 * V3, 
        IF(R3="Business Team 3", 'Business Case - Fundamentals'!$K$20 * V3, 
            "No Match")))</f>
        <v>494350.2825</v>
      </c>
    </row>
    <row r="4">
      <c r="A4" s="13" t="s">
        <v>74</v>
      </c>
      <c r="B4" s="14" t="str">
        <f>VLOOKUP(A4,Table1[],2)</f>
        <v>Example</v>
      </c>
      <c r="C4" s="14" t="str">
        <f>VLOOKUP(A4,Table1[],3)</f>
        <v>Expense Approval Workflow</v>
      </c>
      <c r="D4" s="14" t="str">
        <f>VLOOKUP(A4,Table1[],4)</f>
        <v>Automate approval workflows for expense claims.</v>
      </c>
      <c r="E4" s="17" t="str">
        <f>VLOOKUP(A4,Table1[],10)</f>
        <v>Low</v>
      </c>
      <c r="F4" s="66">
        <f>VLOOKUP(A4,Table1[],11)</f>
        <v>360</v>
      </c>
      <c r="G4" s="66">
        <f>VLOOKUP(A4,Table1[],12)</f>
        <v>600</v>
      </c>
      <c r="H4" s="66">
        <f>VLOOKUP(A4,Table1[],13)</f>
        <v>216000</v>
      </c>
      <c r="I4" s="66">
        <f>VLOOKUP(A4,Table1[],14)</f>
        <v>3600</v>
      </c>
      <c r="J4" s="67" t="str">
        <f>VLOOKUP(A4,Table1[],15)</f>
        <v>Chatbot</v>
      </c>
      <c r="K4" s="68" t="str">
        <f>VLOOKUP(A4,Table1[],17)</f>
        <v>No</v>
      </c>
      <c r="L4" s="69" t="str">
        <f>VLOOKUP(A4,Table1[],19)</f>
        <v>Medium</v>
      </c>
      <c r="M4" s="70"/>
      <c r="N4" s="71">
        <v>0.15</v>
      </c>
      <c r="O4" s="72">
        <f t="shared" si="1"/>
        <v>510</v>
      </c>
      <c r="P4" s="71">
        <v>0.1</v>
      </c>
      <c r="Q4" s="72">
        <f t="shared" si="2"/>
        <v>324</v>
      </c>
      <c r="R4" s="21" t="s">
        <v>111</v>
      </c>
      <c r="S4" s="73">
        <f t="shared" si="3"/>
        <v>1080</v>
      </c>
      <c r="T4" s="73">
        <f t="shared" si="4"/>
        <v>220320</v>
      </c>
      <c r="U4" s="73">
        <f t="shared" si="5"/>
        <v>3672</v>
      </c>
      <c r="V4" s="73">
        <f>U4/'Business Case - Fundamentals'!$C$12</f>
        <v>2.701271186</v>
      </c>
      <c r="W4" s="74">
        <f>IF(R4="Business Team 1", 'Business Case - Fundamentals'!$C$20 * V4, 
    IF(R4="Business Team 2", 'Business Case - Fundamentals'!$G$20 * V4, 
        IF(R4="Business Team 3", 'Business Case - Fundamentals'!$K$20 * V4, 
            "No Match")))</f>
        <v>189088.9831</v>
      </c>
    </row>
    <row r="5">
      <c r="A5" s="24" t="s">
        <v>61</v>
      </c>
      <c r="B5" s="25" t="str">
        <f>VLOOKUP(A5,Table1[],2)</f>
        <v>Example</v>
      </c>
      <c r="C5" s="25" t="str">
        <f>VLOOKUP(A5,Table1[],3)</f>
        <v>IT Support Ticket Categorisation</v>
      </c>
      <c r="D5" s="25" t="str">
        <f>VLOOKUP(A5,Table1[],4)</f>
        <v>Automate categorisation of incoming IT support tickets.</v>
      </c>
      <c r="E5" s="28" t="str">
        <f>VLOOKUP(A5,Table1[],10)</f>
        <v>Low</v>
      </c>
      <c r="F5" s="66">
        <f>VLOOKUP(A5,Table1[],11)</f>
        <v>50</v>
      </c>
      <c r="G5" s="66">
        <f>VLOOKUP(A5,Table1[],12)</f>
        <v>1500</v>
      </c>
      <c r="H5" s="66">
        <f>VLOOKUP(A5,Table1[],13)</f>
        <v>75000</v>
      </c>
      <c r="I5" s="66">
        <f>VLOOKUP(A5,Table1[],14)</f>
        <v>1250</v>
      </c>
      <c r="J5" s="67" t="str">
        <f>VLOOKUP(A5,Table1[],15)</f>
        <v>Automation</v>
      </c>
      <c r="K5" s="68" t="str">
        <f>VLOOKUP(A5,Table1[],17)</f>
        <v>Yes</v>
      </c>
      <c r="L5" s="69" t="str">
        <f>VLOOKUP(A5,Table1[],19)</f>
        <v>High</v>
      </c>
      <c r="M5" s="70"/>
      <c r="N5" s="75">
        <v>0.8</v>
      </c>
      <c r="O5" s="76">
        <f t="shared" si="1"/>
        <v>300</v>
      </c>
      <c r="P5" s="75">
        <v>0.7</v>
      </c>
      <c r="Q5" s="76">
        <f t="shared" si="2"/>
        <v>15</v>
      </c>
      <c r="R5" s="32" t="s">
        <v>111</v>
      </c>
      <c r="S5" s="77">
        <f t="shared" si="3"/>
        <v>14400</v>
      </c>
      <c r="T5" s="77">
        <f t="shared" si="4"/>
        <v>126000</v>
      </c>
      <c r="U5" s="77">
        <f t="shared" si="5"/>
        <v>2100</v>
      </c>
      <c r="V5" s="77">
        <f>U5/'Business Case - Fundamentals'!$C$12</f>
        <v>1.544844633</v>
      </c>
      <c r="W5" s="78">
        <f>IF(R5="Business Team 1", 'Business Case - Fundamentals'!$C$20 * V5, 
    IF(R5="Business Team 2", 'Business Case - Fundamentals'!$G$20 * V5, 
        IF(R5="Business Team 3", 'Business Case - Fundamentals'!$K$20 * V5, 
            "No Match")))</f>
        <v>108139.1243</v>
      </c>
    </row>
    <row r="6">
      <c r="A6" s="13" t="s">
        <v>70</v>
      </c>
      <c r="B6" s="14" t="str">
        <f>VLOOKUP(A6,Table1[],2)</f>
        <v>Example</v>
      </c>
      <c r="C6" s="14" t="str">
        <f>VLOOKUP(A6,Table1[],3)</f>
        <v>Marketing Campaign Automation</v>
      </c>
      <c r="D6" s="14" t="str">
        <f>VLOOKUP(A6,Table1[],4)</f>
        <v>Automate creation and scheduling of marketing campaigns.</v>
      </c>
      <c r="E6" s="17" t="str">
        <f>VLOOKUP(A6,Table1[],10)</f>
        <v>Low</v>
      </c>
      <c r="F6" s="66">
        <f>VLOOKUP(A6,Table1[],11)</f>
        <v>40</v>
      </c>
      <c r="G6" s="66">
        <f>VLOOKUP(A6,Table1[],12)</f>
        <v>200</v>
      </c>
      <c r="H6" s="66">
        <f>VLOOKUP(A6,Table1[],13)</f>
        <v>8000</v>
      </c>
      <c r="I6" s="66">
        <f>VLOOKUP(A6,Table1[],14)</f>
        <v>133.3333333</v>
      </c>
      <c r="J6" s="67" t="str">
        <f>VLOOKUP(A6,Table1[],15)</f>
        <v>AI</v>
      </c>
      <c r="K6" s="68" t="str">
        <f>VLOOKUP(A6,Table1[],17)</f>
        <v>No</v>
      </c>
      <c r="L6" s="69" t="str">
        <f>VLOOKUP(A6,Table1[],19)</f>
        <v>Medium</v>
      </c>
      <c r="M6" s="70"/>
      <c r="N6" s="71">
        <v>0.05</v>
      </c>
      <c r="O6" s="72">
        <f t="shared" si="1"/>
        <v>190</v>
      </c>
      <c r="P6" s="71">
        <v>0.55</v>
      </c>
      <c r="Q6" s="72">
        <f t="shared" si="2"/>
        <v>18</v>
      </c>
      <c r="R6" s="21" t="s">
        <v>112</v>
      </c>
      <c r="S6" s="73">
        <f t="shared" si="3"/>
        <v>120</v>
      </c>
      <c r="T6" s="73">
        <f t="shared" si="4"/>
        <v>50160</v>
      </c>
      <c r="U6" s="73">
        <f t="shared" si="5"/>
        <v>836</v>
      </c>
      <c r="V6" s="73">
        <f>U6/'Business Case - Fundamentals'!$C$12</f>
        <v>0.6149952919</v>
      </c>
      <c r="W6" s="74">
        <f>IF(R6="Business Team 1", 'Business Case - Fundamentals'!$C$20 * V6, 
    IF(R6="Business Team 2", 'Business Case - Fundamentals'!$G$20 * V6, 
        IF(R6="Business Team 3", 'Business Case - Fundamentals'!$K$20 * V6, 
            "No Match")))</f>
        <v>33824.74105</v>
      </c>
    </row>
    <row r="7">
      <c r="A7" s="24" t="s">
        <v>38</v>
      </c>
      <c r="B7" s="25" t="str">
        <f>VLOOKUP(A7,Table1[],2)</f>
        <v>Stop spending so much</v>
      </c>
      <c r="C7" s="25" t="str">
        <f>VLOOKUP(A7,Table1[],3)</f>
        <v>Invoice Processing Automation</v>
      </c>
      <c r="D7" s="25" t="str">
        <f>VLOOKUP(A7,Table1[],4)</f>
        <v>Automate invoice data entry and validation.</v>
      </c>
      <c r="E7" s="28" t="str">
        <f>VLOOKUP(A7,Table1[],10)</f>
        <v>Low</v>
      </c>
      <c r="F7" s="66">
        <f>VLOOKUP(A7,Table1[],11)</f>
        <v>120</v>
      </c>
      <c r="G7" s="66">
        <f>VLOOKUP(A7,Table1[],12)</f>
        <v>500</v>
      </c>
      <c r="H7" s="66">
        <f>VLOOKUP(A7,Table1[],13)</f>
        <v>60000</v>
      </c>
      <c r="I7" s="66">
        <f>VLOOKUP(A7,Table1[],14)</f>
        <v>1000</v>
      </c>
      <c r="J7" s="67" t="str">
        <f>VLOOKUP(A7,Table1[],15)</f>
        <v>Automation</v>
      </c>
      <c r="K7" s="68" t="str">
        <f>VLOOKUP(A7,Table1[],17)</f>
        <v>No</v>
      </c>
      <c r="L7" s="69" t="str">
        <f>VLOOKUP(A7,Table1[],19)</f>
        <v>Medium</v>
      </c>
      <c r="M7" s="70"/>
      <c r="N7" s="75">
        <v>0.2</v>
      </c>
      <c r="O7" s="76">
        <f t="shared" si="1"/>
        <v>400</v>
      </c>
      <c r="P7" s="75">
        <v>0.1</v>
      </c>
      <c r="Q7" s="76">
        <f t="shared" si="2"/>
        <v>108</v>
      </c>
      <c r="R7" s="32" t="s">
        <v>113</v>
      </c>
      <c r="S7" s="77">
        <f t="shared" si="3"/>
        <v>1200</v>
      </c>
      <c r="T7" s="77">
        <f t="shared" si="4"/>
        <v>57600</v>
      </c>
      <c r="U7" s="77">
        <f t="shared" si="5"/>
        <v>960</v>
      </c>
      <c r="V7" s="77">
        <f>U7/'Business Case - Fundamentals'!$C$12</f>
        <v>0.7062146893</v>
      </c>
      <c r="W7" s="78">
        <f>IF(R7="Business Team 1", 'Business Case - Fundamentals'!$C$20 * V7, 
    IF(R7="Business Team 2", 'Business Case - Fundamentals'!$G$20 * V7, 
        IF(R7="Business Team 3", 'Business Case - Fundamentals'!$K$20 * V7, 
            "No Match")))</f>
        <v>24717.51412</v>
      </c>
    </row>
    <row r="8">
      <c r="A8" s="13" t="s">
        <v>66</v>
      </c>
      <c r="B8" s="14" t="str">
        <f>VLOOKUP(A8,Table1[],2)</f>
        <v>Example</v>
      </c>
      <c r="C8" s="14" t="str">
        <f>VLOOKUP(A8,Table1[],3)</f>
        <v>Sales Lead Qualification Bot</v>
      </c>
      <c r="D8" s="14" t="str">
        <f>VLOOKUP(A8,Table1[],4)</f>
        <v>Deploy an AI bot to qualify sales leads automatically.</v>
      </c>
      <c r="E8" s="17" t="str">
        <f>VLOOKUP(A8,Table1[],10)</f>
        <v>High</v>
      </c>
      <c r="F8" s="66">
        <f>VLOOKUP(A8,Table1[],11)</f>
        <v>30</v>
      </c>
      <c r="G8" s="66">
        <f>VLOOKUP(A8,Table1[],12)</f>
        <v>400</v>
      </c>
      <c r="H8" s="66">
        <f>VLOOKUP(A8,Table1[],13)</f>
        <v>12000</v>
      </c>
      <c r="I8" s="66">
        <f>VLOOKUP(A8,Table1[],14)</f>
        <v>200</v>
      </c>
      <c r="J8" s="67" t="str">
        <f>VLOOKUP(A8,Table1[],15)</f>
        <v>AI</v>
      </c>
      <c r="K8" s="68" t="str">
        <f>VLOOKUP(A8,Table1[],17)</f>
        <v>No</v>
      </c>
      <c r="L8" s="69" t="str">
        <f>VLOOKUP(A8,Table1[],19)</f>
        <v>Medium</v>
      </c>
      <c r="M8" s="70"/>
      <c r="N8" s="71">
        <v>0.1</v>
      </c>
      <c r="O8" s="72">
        <f t="shared" si="1"/>
        <v>360</v>
      </c>
      <c r="P8" s="71">
        <v>0.25</v>
      </c>
      <c r="Q8" s="72">
        <f t="shared" si="2"/>
        <v>22.5</v>
      </c>
      <c r="R8" s="21" t="s">
        <v>113</v>
      </c>
      <c r="S8" s="73">
        <f t="shared" si="3"/>
        <v>480</v>
      </c>
      <c r="T8" s="73">
        <f t="shared" si="4"/>
        <v>32400</v>
      </c>
      <c r="U8" s="73">
        <f t="shared" si="5"/>
        <v>540</v>
      </c>
      <c r="V8" s="73">
        <f>U8/'Business Case - Fundamentals'!$C$12</f>
        <v>0.3972457627</v>
      </c>
      <c r="W8" s="74">
        <f>IF(R8="Business Team 1", 'Business Case - Fundamentals'!$C$20 * V8, 
    IF(R8="Business Team 2", 'Business Case - Fundamentals'!$G$20 * V8, 
        IF(R8="Business Team 3", 'Business Case - Fundamentals'!$K$20 * V8, 
            "No Match")))</f>
        <v>13903.60169</v>
      </c>
    </row>
    <row r="9">
      <c r="A9" s="24" t="s">
        <v>56</v>
      </c>
      <c r="B9" s="25" t="str">
        <f>VLOOKUP(A9,Table1[],2)</f>
        <v>Enabling scaling</v>
      </c>
      <c r="C9" s="25" t="str">
        <f>VLOOKUP(A9,Table1[],3)</f>
        <v>Inventory Replenishment RPA</v>
      </c>
      <c r="D9" s="25" t="str">
        <f>VLOOKUP(A9,Table1[],4)</f>
        <v>Implement RPA for automated inventory restocking.</v>
      </c>
      <c r="E9" s="28" t="str">
        <f>VLOOKUP(A9,Table1[],10)</f>
        <v>Medium</v>
      </c>
      <c r="F9" s="66">
        <f>VLOOKUP(A9,Table1[],11)</f>
        <v>20</v>
      </c>
      <c r="G9" s="66">
        <f>VLOOKUP(A9,Table1[],12)</f>
        <v>300</v>
      </c>
      <c r="H9" s="66">
        <f>VLOOKUP(A9,Table1[],13)</f>
        <v>6000</v>
      </c>
      <c r="I9" s="66">
        <f>VLOOKUP(A9,Table1[],14)</f>
        <v>100</v>
      </c>
      <c r="J9" s="67" t="str">
        <f>VLOOKUP(A9,Table1[],15)</f>
        <v>Automation</v>
      </c>
      <c r="K9" s="68" t="str">
        <f>VLOOKUP(A9,Table1[],17)</f>
        <v>Yes</v>
      </c>
      <c r="L9" s="69" t="str">
        <f>VLOOKUP(A9,Table1[],19)</f>
        <v>Medium</v>
      </c>
      <c r="M9" s="70"/>
      <c r="N9" s="75">
        <v>0.6</v>
      </c>
      <c r="O9" s="76">
        <f t="shared" si="1"/>
        <v>120</v>
      </c>
      <c r="P9" s="75">
        <v>0.6</v>
      </c>
      <c r="Q9" s="76">
        <f t="shared" si="2"/>
        <v>8</v>
      </c>
      <c r="R9" s="32" t="s">
        <v>113</v>
      </c>
      <c r="S9" s="77">
        <f t="shared" si="3"/>
        <v>2160</v>
      </c>
      <c r="T9" s="77">
        <f t="shared" si="4"/>
        <v>17280</v>
      </c>
      <c r="U9" s="77">
        <f t="shared" si="5"/>
        <v>288</v>
      </c>
      <c r="V9" s="77">
        <f>U9/'Business Case - Fundamentals'!$C$12</f>
        <v>0.2118644068</v>
      </c>
      <c r="W9" s="78">
        <f>IF(R9="Business Team 1", 'Business Case - Fundamentals'!$C$20 * V9, 
    IF(R9="Business Team 2", 'Business Case - Fundamentals'!$G$20 * V9, 
        IF(R9="Business Team 3", 'Business Case - Fundamentals'!$K$20 * V9, 
            "No Match")))</f>
        <v>7415.254237</v>
      </c>
    </row>
    <row r="10">
      <c r="A10" s="13" t="s">
        <v>44</v>
      </c>
      <c r="B10" s="14" t="str">
        <f>VLOOKUP(A10,Table1[],2)</f>
        <v>Grow in market</v>
      </c>
      <c r="C10" s="14" t="str">
        <f>VLOOKUP(A10,Table1[],3)</f>
        <v>Employee Onboarding Chatbot</v>
      </c>
      <c r="D10" s="14" t="str">
        <f>VLOOKUP(A10,Table1[],4)</f>
        <v>Create a chatbot to guide employees through onboarding.</v>
      </c>
      <c r="E10" s="17" t="str">
        <f>VLOOKUP(A10,Table1[],10)</f>
        <v>Low</v>
      </c>
      <c r="F10" s="66">
        <f>VLOOKUP(A10,Table1[],11)</f>
        <v>180</v>
      </c>
      <c r="G10" s="66">
        <f>VLOOKUP(A10,Table1[],12)</f>
        <v>50</v>
      </c>
      <c r="H10" s="66">
        <f>VLOOKUP(A10,Table1[],13)</f>
        <v>9000</v>
      </c>
      <c r="I10" s="66">
        <f>VLOOKUP(A10,Table1[],14)</f>
        <v>150</v>
      </c>
      <c r="J10" s="67" t="str">
        <f>VLOOKUP(A10,Table1[],15)</f>
        <v>Chatbot</v>
      </c>
      <c r="K10" s="68" t="str">
        <f>VLOOKUP(A10,Table1[],17)</f>
        <v>Yes</v>
      </c>
      <c r="L10" s="69" t="str">
        <f>VLOOKUP(A10,Table1[],19)</f>
        <v>High</v>
      </c>
      <c r="M10" s="70"/>
      <c r="N10" s="71">
        <v>0.1</v>
      </c>
      <c r="O10" s="72">
        <f t="shared" si="1"/>
        <v>45</v>
      </c>
      <c r="P10" s="71">
        <v>0.05</v>
      </c>
      <c r="Q10" s="72">
        <f t="shared" si="2"/>
        <v>171</v>
      </c>
      <c r="R10" s="21" t="s">
        <v>112</v>
      </c>
      <c r="S10" s="73">
        <f t="shared" si="3"/>
        <v>60</v>
      </c>
      <c r="T10" s="73">
        <f t="shared" si="4"/>
        <v>4860</v>
      </c>
      <c r="U10" s="73">
        <f t="shared" si="5"/>
        <v>81</v>
      </c>
      <c r="V10" s="73">
        <f>U10/'Business Case - Fundamentals'!$C$12</f>
        <v>0.05958686441</v>
      </c>
      <c r="W10" s="74">
        <f>IF(R10="Business Team 1", 'Business Case - Fundamentals'!$C$20 * V10, 
    IF(R10="Business Team 2", 'Business Case - Fundamentals'!$G$20 * V10, 
        IF(R10="Business Team 3", 'Business Case - Fundamentals'!$K$20 * V10, 
            "No Match")))</f>
        <v>3277.277542</v>
      </c>
    </row>
    <row r="11">
      <c r="A11" s="36" t="s">
        <v>50</v>
      </c>
      <c r="B11" s="37" t="str">
        <f>VLOOKUP(A11,Table1[],2)</f>
        <v>Improve processing times</v>
      </c>
      <c r="C11" s="37" t="str">
        <f>VLOOKUP(A11,Table1[],3)</f>
        <v>Order Status Updates Chatbot</v>
      </c>
      <c r="D11" s="37" t="str">
        <f>VLOOKUP(A11,Table1[],4)</f>
        <v>Automate customer order status inquiries via chatbot.</v>
      </c>
      <c r="E11" s="40" t="str">
        <f>VLOOKUP(A11,Table1[],10)</f>
        <v>Low</v>
      </c>
      <c r="F11" s="66">
        <f>VLOOKUP(A11,Table1[],11)</f>
        <v>5</v>
      </c>
      <c r="G11" s="66">
        <f>VLOOKUP(A11,Table1[],12)</f>
        <v>2000</v>
      </c>
      <c r="H11" s="66">
        <f>VLOOKUP(A11,Table1[],13)</f>
        <v>10000</v>
      </c>
      <c r="I11" s="66">
        <f>VLOOKUP(A11,Table1[],14)</f>
        <v>166.6666667</v>
      </c>
      <c r="J11" s="67" t="str">
        <f>VLOOKUP(A11,Table1[],15)</f>
        <v>AI</v>
      </c>
      <c r="K11" s="68" t="str">
        <f>VLOOKUP(A11,Table1[],17)</f>
        <v>No</v>
      </c>
      <c r="L11" s="69" t="str">
        <f>VLOOKUP(A11,Table1[],19)</f>
        <v>High</v>
      </c>
      <c r="M11" s="79"/>
      <c r="N11" s="80">
        <v>0.3</v>
      </c>
      <c r="O11" s="81">
        <f t="shared" si="1"/>
        <v>1400</v>
      </c>
      <c r="P11" s="80">
        <v>0.02</v>
      </c>
      <c r="Q11" s="81">
        <f t="shared" si="2"/>
        <v>4.9</v>
      </c>
      <c r="R11" s="44" t="s">
        <v>111</v>
      </c>
      <c r="S11" s="82">
        <f t="shared" si="3"/>
        <v>7200</v>
      </c>
      <c r="T11" s="82">
        <f t="shared" si="4"/>
        <v>1680</v>
      </c>
      <c r="U11" s="82">
        <f t="shared" si="5"/>
        <v>28</v>
      </c>
      <c r="V11" s="82">
        <f>U11/'Business Case - Fundamentals'!$C$12</f>
        <v>0.02059792844</v>
      </c>
      <c r="W11" s="83">
        <f>IF(R11="Business Team 1", 'Business Case - Fundamentals'!$C$20 * V11, 
    IF(R11="Business Team 2", 'Business Case - Fundamentals'!$G$20 * V11, 
        IF(R11="Business Team 3", 'Business Case - Fundamentals'!$K$20 * V11, 
            "No Match")))</f>
        <v>1441.854991</v>
      </c>
    </row>
  </sheetData>
  <dataValidations>
    <dataValidation type="list" allowBlank="1" sqref="E2:E11">
      <formula1>"Medium,Low,High"</formula1>
    </dataValidation>
    <dataValidation type="list" allowBlank="1" sqref="R2:R11">
      <formula1>"Business Team 1,Business Team 2,Business Team 3"</formula1>
    </dataValidation>
    <dataValidation type="list" allowBlank="1" sqref="J2:J11">
      <formula1>"Automation,Chatbot,AI"</formula1>
    </dataValidation>
    <dataValidation type="list" allowBlank="1" sqref="K2:K11">
      <formula1>"Yes,No"</formula1>
    </dataValidation>
    <dataValidation type="custom" allowBlank="1" showDropDown="1" sqref="F2:I11 N2:Q11 V2:W11">
      <formula1>AND(ISNUMBER(F2),(NOT(OR(NOT(ISERROR(DATEVALUE(F2))), AND(ISNUMBER(F2), LEFT(CELL("format", F2))="D")))))</formula1>
    </dataValidation>
    <dataValidation type="list" allowBlank="1" sqref="L2:L11">
      <formula1>"High,Medium,Low"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3" width="25.13"/>
    <col customWidth="1" min="4" max="4" width="3.25"/>
    <col customWidth="1" min="5" max="6" width="25.13"/>
    <col customWidth="1" min="7" max="7" width="3.25"/>
    <col customWidth="1" min="8" max="9" width="25.13"/>
    <col customWidth="1" min="10" max="10" width="3.25"/>
    <col customWidth="1" min="11" max="12" width="25.13"/>
    <col customWidth="1" min="13" max="13" width="3.25"/>
    <col customWidth="1" min="14" max="15" width="25.13"/>
  </cols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</row>
    <row r="2">
      <c r="A2" s="84"/>
      <c r="B2" s="85" t="s">
        <v>114</v>
      </c>
      <c r="D2" s="84"/>
      <c r="E2" s="85" t="s">
        <v>109</v>
      </c>
      <c r="G2" s="84"/>
      <c r="H2" s="86" t="s">
        <v>110</v>
      </c>
      <c r="J2" s="84"/>
      <c r="K2" s="85" t="s">
        <v>115</v>
      </c>
      <c r="M2" s="84"/>
      <c r="N2" s="85" t="s">
        <v>116</v>
      </c>
      <c r="P2" s="84"/>
      <c r="Q2" s="84"/>
      <c r="R2" s="84"/>
      <c r="S2" s="84"/>
      <c r="T2" s="84"/>
      <c r="U2" s="84"/>
      <c r="V2" s="84"/>
      <c r="W2" s="84"/>
      <c r="X2" s="84"/>
      <c r="Y2" s="84"/>
    </row>
    <row r="3">
      <c r="A3" s="84"/>
      <c r="B3" s="87">
        <f>IFERROR(__xludf.DUMMYFUNCTION("COUNTUNIQUE(Business_Case[ID])"),10.0)</f>
        <v>10</v>
      </c>
      <c r="C3" s="88"/>
      <c r="D3" s="84"/>
      <c r="E3" s="89">
        <f>IFERROR(__xludf.DUMMYFUNCTION("SUM(FILTER('Business Case'!V2:V11, ('Business Case'!V2:V11&lt;&gt;0) * ('Business Case'!V2:V11&lt;&gt;""N/A"")))
"),30.26792019774011)</f>
        <v>30.2679202</v>
      </c>
      <c r="F3" s="88"/>
      <c r="G3" s="84"/>
      <c r="H3" s="90">
        <f>IFERROR(__xludf.DUMMYFUNCTION("SUM(FILTER('Business Case'!W1:W11, ('Business Case'!W1:W11&lt;&gt;0) * ('Business Case'!W1:W11&lt;&gt;""N/A"")))
"),2062599.311440678)</f>
        <v>2062599.311</v>
      </c>
      <c r="I3" s="88"/>
      <c r="J3" s="84"/>
      <c r="K3" s="91">
        <f>IFERROR(__xludf.DUMMYFUNCTION("AVERAGE(FILTER('Business Case'!P2:P11, ('Business Case'!P2:P11&lt;&gt;0) * ('Business Case'!P2:P11&lt;&gt;""N/A"")))
"),0.26)</f>
        <v>0.26</v>
      </c>
      <c r="L3" s="88"/>
      <c r="M3" s="84"/>
      <c r="N3" s="91">
        <f>IFERROR(__xludf.DUMMYFUNCTION("AVERAGE(FILTER('Business Case'!N2:N11, ('Business Case'!N2:N11&lt;&gt;0) * ('Business Case'!N2:N11&lt;&gt;""N/A"")))
"),0.3)</f>
        <v>0.3</v>
      </c>
      <c r="O3" s="88"/>
      <c r="P3" s="84"/>
      <c r="Q3" s="84"/>
      <c r="R3" s="84"/>
      <c r="S3" s="84"/>
      <c r="T3" s="84"/>
      <c r="U3" s="84"/>
      <c r="V3" s="84"/>
      <c r="W3" s="84"/>
      <c r="X3" s="84"/>
      <c r="Y3" s="84"/>
    </row>
    <row r="4">
      <c r="A4" s="84"/>
      <c r="B4" s="92"/>
      <c r="C4" s="93"/>
      <c r="D4" s="84"/>
      <c r="E4" s="92"/>
      <c r="F4" s="93"/>
      <c r="G4" s="84"/>
      <c r="H4" s="92"/>
      <c r="I4" s="93"/>
      <c r="J4" s="84"/>
      <c r="K4" s="92"/>
      <c r="L4" s="93"/>
      <c r="M4" s="84"/>
      <c r="N4" s="92"/>
      <c r="O4" s="93"/>
      <c r="P4" s="84"/>
      <c r="Q4" s="84"/>
      <c r="R4" s="84"/>
      <c r="S4" s="84"/>
      <c r="T4" s="84"/>
      <c r="U4" s="84"/>
      <c r="V4" s="84"/>
      <c r="W4" s="84"/>
      <c r="X4" s="84"/>
      <c r="Y4" s="84"/>
    </row>
    <row r="5">
      <c r="A5" s="84"/>
      <c r="B5" s="92"/>
      <c r="C5" s="93"/>
      <c r="D5" s="84"/>
      <c r="E5" s="92"/>
      <c r="F5" s="93"/>
      <c r="G5" s="84"/>
      <c r="H5" s="92"/>
      <c r="I5" s="93"/>
      <c r="J5" s="84"/>
      <c r="K5" s="92"/>
      <c r="L5" s="93"/>
      <c r="M5" s="84"/>
      <c r="N5" s="92"/>
      <c r="O5" s="93"/>
      <c r="P5" s="84"/>
      <c r="Q5" s="84"/>
      <c r="R5" s="84"/>
      <c r="S5" s="84"/>
      <c r="T5" s="84"/>
      <c r="U5" s="84"/>
      <c r="V5" s="84"/>
      <c r="W5" s="84"/>
      <c r="X5" s="84"/>
      <c r="Y5" s="84"/>
    </row>
    <row r="6">
      <c r="A6" s="84"/>
      <c r="B6" s="92"/>
      <c r="C6" s="93"/>
      <c r="D6" s="84"/>
      <c r="E6" s="92"/>
      <c r="F6" s="93"/>
      <c r="G6" s="84"/>
      <c r="H6" s="92"/>
      <c r="I6" s="93"/>
      <c r="J6" s="84"/>
      <c r="K6" s="92"/>
      <c r="L6" s="93"/>
      <c r="M6" s="84"/>
      <c r="N6" s="92"/>
      <c r="O6" s="93"/>
      <c r="P6" s="84"/>
      <c r="Q6" s="84"/>
      <c r="R6" s="84"/>
      <c r="S6" s="84"/>
      <c r="T6" s="84"/>
      <c r="U6" s="84"/>
      <c r="V6" s="84"/>
      <c r="W6" s="84"/>
      <c r="X6" s="84"/>
      <c r="Y6" s="84"/>
    </row>
    <row r="7">
      <c r="A7" s="84"/>
      <c r="B7" s="92"/>
      <c r="C7" s="93"/>
      <c r="D7" s="84"/>
      <c r="E7" s="92"/>
      <c r="F7" s="93"/>
      <c r="G7" s="84"/>
      <c r="H7" s="92"/>
      <c r="I7" s="93"/>
      <c r="J7" s="84"/>
      <c r="K7" s="92"/>
      <c r="L7" s="93"/>
      <c r="M7" s="84"/>
      <c r="N7" s="92"/>
      <c r="O7" s="93"/>
      <c r="P7" s="84"/>
      <c r="Q7" s="84"/>
      <c r="R7" s="84"/>
      <c r="S7" s="84"/>
      <c r="T7" s="84"/>
      <c r="U7" s="84"/>
      <c r="V7" s="84"/>
      <c r="W7" s="84"/>
      <c r="X7" s="84"/>
      <c r="Y7" s="84"/>
    </row>
    <row r="8">
      <c r="A8" s="84"/>
      <c r="B8" s="94"/>
      <c r="C8" s="95"/>
      <c r="D8" s="84"/>
      <c r="E8" s="94"/>
      <c r="F8" s="95"/>
      <c r="G8" s="84"/>
      <c r="H8" s="94"/>
      <c r="I8" s="95"/>
      <c r="J8" s="84"/>
      <c r="K8" s="94"/>
      <c r="L8" s="95"/>
      <c r="M8" s="84"/>
      <c r="N8" s="94"/>
      <c r="O8" s="95"/>
      <c r="P8" s="84"/>
      <c r="Q8" s="84"/>
      <c r="R8" s="84"/>
      <c r="S8" s="84"/>
      <c r="T8" s="84"/>
      <c r="U8" s="84"/>
      <c r="V8" s="84"/>
      <c r="W8" s="84"/>
      <c r="X8" s="84"/>
      <c r="Y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</row>
    <row r="47">
      <c r="A47" s="84"/>
      <c r="B47" s="96" t="s">
        <v>117</v>
      </c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</row>
    <row r="49">
      <c r="A49" s="84"/>
      <c r="B49" s="98" t="s">
        <v>118</v>
      </c>
      <c r="C49" s="85"/>
      <c r="D49" s="84"/>
      <c r="E49" s="85"/>
      <c r="F49" s="85"/>
      <c r="G49" s="84"/>
      <c r="H49" s="85"/>
      <c r="I49" s="85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>
      <c r="A50" s="84"/>
      <c r="B50" s="85" t="s">
        <v>119</v>
      </c>
      <c r="D50" s="84"/>
      <c r="E50" s="85" t="s">
        <v>120</v>
      </c>
      <c r="G50" s="84"/>
      <c r="H50" s="85" t="s">
        <v>121</v>
      </c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>
      <c r="A51" s="84"/>
      <c r="B51" s="87">
        <f>COUNTIF('Business Case'!R2:R11, "Business Team 1")
</f>
        <v>3</v>
      </c>
      <c r="C51" s="88"/>
      <c r="D51" s="84"/>
      <c r="E51" s="87">
        <f>COUNTIF('Business Case'!R2:R11, "Business Team 2")
</f>
        <v>5</v>
      </c>
      <c r="F51" s="88"/>
      <c r="G51" s="84"/>
      <c r="H51" s="87">
        <f>COUNTIF('Business Case'!R2:R11, "Business Team 3")
</f>
        <v>2</v>
      </c>
      <c r="I51" s="88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>
      <c r="A52" s="84"/>
      <c r="B52" s="92"/>
      <c r="C52" s="93"/>
      <c r="D52" s="84"/>
      <c r="E52" s="92"/>
      <c r="F52" s="93"/>
      <c r="G52" s="84"/>
      <c r="H52" s="92"/>
      <c r="I52" s="93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>
      <c r="A53" s="84"/>
      <c r="B53" s="92"/>
      <c r="C53" s="93"/>
      <c r="D53" s="84"/>
      <c r="E53" s="92"/>
      <c r="F53" s="93"/>
      <c r="G53" s="84"/>
      <c r="H53" s="92"/>
      <c r="I53" s="93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>
      <c r="A54" s="84"/>
      <c r="B54" s="92"/>
      <c r="C54" s="93"/>
      <c r="D54" s="84"/>
      <c r="E54" s="92"/>
      <c r="F54" s="93"/>
      <c r="G54" s="84"/>
      <c r="H54" s="92"/>
      <c r="I54" s="93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>
      <c r="A55" s="84"/>
      <c r="B55" s="92"/>
      <c r="C55" s="93"/>
      <c r="D55" s="84"/>
      <c r="E55" s="92"/>
      <c r="F55" s="93"/>
      <c r="G55" s="84"/>
      <c r="H55" s="92"/>
      <c r="I55" s="93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>
      <c r="A56" s="84"/>
      <c r="B56" s="94"/>
      <c r="C56" s="95"/>
      <c r="D56" s="84"/>
      <c r="E56" s="94"/>
      <c r="F56" s="95"/>
      <c r="G56" s="84"/>
      <c r="H56" s="94"/>
      <c r="I56" s="95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>
      <c r="A57" s="84"/>
      <c r="B57" s="84"/>
      <c r="C57" s="84"/>
      <c r="D57" s="84"/>
      <c r="E57" s="84"/>
      <c r="F57" s="84"/>
      <c r="G57" s="84"/>
      <c r="H57" s="99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>
      <c r="A58" s="84"/>
      <c r="B58" s="85" t="s">
        <v>122</v>
      </c>
      <c r="D58" s="84"/>
      <c r="E58" s="85" t="s">
        <v>122</v>
      </c>
      <c r="G58" s="84"/>
      <c r="H58" s="85" t="s">
        <v>122</v>
      </c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>
      <c r="A59" s="84"/>
      <c r="B59" s="100">
        <f>SUMIFS('Business Case'!W2:W11, 'Business Case'!R2:R11, "Business Team 1")
</f>
        <v>46036.37006</v>
      </c>
      <c r="C59" s="88"/>
      <c r="D59" s="101"/>
      <c r="E59" s="100">
        <f>SUMIFS('Business Case'!W2:W11, 'Business Case'!R2:R11, "Business Team 2")
</f>
        <v>1979460.923</v>
      </c>
      <c r="F59" s="88"/>
      <c r="G59" s="101"/>
      <c r="H59" s="100">
        <f>SUMIFS('Business Case'!W2:W11, 'Business Case'!R2:R11, "Business Team 3")
</f>
        <v>37102.0186</v>
      </c>
      <c r="I59" s="88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>
      <c r="A60" s="84"/>
      <c r="B60" s="92"/>
      <c r="C60" s="93"/>
      <c r="D60" s="101"/>
      <c r="E60" s="92"/>
      <c r="F60" s="93"/>
      <c r="G60" s="101"/>
      <c r="H60" s="92"/>
      <c r="I60" s="93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>
      <c r="A61" s="84"/>
      <c r="B61" s="92"/>
      <c r="C61" s="93"/>
      <c r="D61" s="101"/>
      <c r="E61" s="92"/>
      <c r="F61" s="93"/>
      <c r="G61" s="101"/>
      <c r="H61" s="92"/>
      <c r="I61" s="93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>
      <c r="A62" s="84"/>
      <c r="B62" s="92"/>
      <c r="C62" s="93"/>
      <c r="D62" s="101"/>
      <c r="E62" s="92"/>
      <c r="F62" s="93"/>
      <c r="G62" s="101"/>
      <c r="H62" s="92"/>
      <c r="I62" s="93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>
      <c r="A63" s="84"/>
      <c r="B63" s="92"/>
      <c r="C63" s="93"/>
      <c r="D63" s="101"/>
      <c r="E63" s="92"/>
      <c r="F63" s="93"/>
      <c r="G63" s="101"/>
      <c r="H63" s="92"/>
      <c r="I63" s="93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>
      <c r="A64" s="84"/>
      <c r="B64" s="94"/>
      <c r="C64" s="95"/>
      <c r="D64" s="101"/>
      <c r="E64" s="94"/>
      <c r="F64" s="95"/>
      <c r="G64" s="101"/>
      <c r="H64" s="94"/>
      <c r="I64" s="95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>
      <c r="A65" s="84"/>
      <c r="B65" s="85"/>
      <c r="C65" s="85"/>
      <c r="D65" s="84"/>
      <c r="E65" s="85"/>
      <c r="F65" s="85"/>
      <c r="G65" s="84"/>
      <c r="H65" s="85"/>
      <c r="I65" s="85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>
      <c r="A66" s="84"/>
      <c r="B66" s="85"/>
      <c r="C66" s="85"/>
      <c r="D66" s="84"/>
      <c r="E66" s="85"/>
      <c r="F66" s="85"/>
      <c r="G66" s="84"/>
      <c r="H66" s="85"/>
      <c r="I66" s="85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>
      <c r="A67" s="84"/>
      <c r="B67" s="98" t="s">
        <v>123</v>
      </c>
      <c r="C67" s="85"/>
      <c r="D67" s="84"/>
      <c r="E67" s="85"/>
      <c r="F67" s="85"/>
      <c r="G67" s="84"/>
      <c r="H67" s="85"/>
      <c r="I67" s="85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>
      <c r="A68" s="84"/>
      <c r="B68" s="85" t="s">
        <v>124</v>
      </c>
      <c r="D68" s="84"/>
      <c r="E68" s="85" t="s">
        <v>125</v>
      </c>
      <c r="G68" s="84"/>
      <c r="H68" s="85" t="s">
        <v>126</v>
      </c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>
      <c r="A69" s="84"/>
      <c r="B69" s="87">
        <f>COUNTIF('Business Case'!E2:E11, "Low")
</f>
        <v>8</v>
      </c>
      <c r="C69" s="88"/>
      <c r="D69" s="84"/>
      <c r="E69" s="87">
        <f>COUNTIF('Business Case'!E2:E11, "Medium")
</f>
        <v>1</v>
      </c>
      <c r="F69" s="88"/>
      <c r="G69" s="84"/>
      <c r="H69" s="87">
        <f>COUNTIF('Business Case'!E2:E11, "High")
</f>
        <v>1</v>
      </c>
      <c r="I69" s="88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>
      <c r="A70" s="84"/>
      <c r="B70" s="92"/>
      <c r="C70" s="93"/>
      <c r="D70" s="84"/>
      <c r="E70" s="92"/>
      <c r="F70" s="93"/>
      <c r="G70" s="84"/>
      <c r="H70" s="92"/>
      <c r="I70" s="93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>
      <c r="A71" s="84"/>
      <c r="B71" s="92"/>
      <c r="C71" s="93"/>
      <c r="D71" s="84"/>
      <c r="E71" s="92"/>
      <c r="F71" s="93"/>
      <c r="G71" s="84"/>
      <c r="H71" s="92"/>
      <c r="I71" s="93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>
      <c r="A72" s="84"/>
      <c r="B72" s="92"/>
      <c r="C72" s="93"/>
      <c r="D72" s="84"/>
      <c r="E72" s="92"/>
      <c r="F72" s="93"/>
      <c r="G72" s="84"/>
      <c r="H72" s="92"/>
      <c r="I72" s="93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>
      <c r="A73" s="84"/>
      <c r="B73" s="92"/>
      <c r="C73" s="93"/>
      <c r="D73" s="84"/>
      <c r="E73" s="92"/>
      <c r="F73" s="93"/>
      <c r="G73" s="84"/>
      <c r="H73" s="92"/>
      <c r="I73" s="93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>
      <c r="A74" s="84"/>
      <c r="B74" s="94"/>
      <c r="C74" s="95"/>
      <c r="D74" s="84"/>
      <c r="E74" s="94"/>
      <c r="F74" s="95"/>
      <c r="G74" s="84"/>
      <c r="H74" s="94"/>
      <c r="I74" s="95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>
      <c r="A75" s="84"/>
      <c r="B75" s="84"/>
      <c r="C75" s="84"/>
      <c r="D75" s="84"/>
      <c r="E75" s="84"/>
      <c r="F75" s="84"/>
      <c r="G75" s="84"/>
      <c r="H75" s="99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>
      <c r="A76" s="84"/>
      <c r="B76" s="85" t="s">
        <v>122</v>
      </c>
      <c r="D76" s="84"/>
      <c r="E76" s="85" t="s">
        <v>122</v>
      </c>
      <c r="G76" s="84"/>
      <c r="H76" s="85" t="s">
        <v>122</v>
      </c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>
      <c r="A77" s="84"/>
      <c r="B77" s="100">
        <f>SUMIFS('Business Case'!W2:W11, 'Business Case'!E2:E11, "Low")
</f>
        <v>2041280.456</v>
      </c>
      <c r="C77" s="88"/>
      <c r="D77" s="101"/>
      <c r="E77" s="100">
        <f>SUMIFS('Business Case'!W2:W11, 'Business Case'!E2:E11, "Medium")
</f>
        <v>7415.254237</v>
      </c>
      <c r="F77" s="88"/>
      <c r="G77" s="101"/>
      <c r="H77" s="100">
        <f>SUMIFS('Business Case'!W2:W11, 'Business Case'!E2:E11, "High")
</f>
        <v>13903.60169</v>
      </c>
      <c r="I77" s="88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>
      <c r="A78" s="84"/>
      <c r="B78" s="92"/>
      <c r="C78" s="93"/>
      <c r="D78" s="101"/>
      <c r="E78" s="92"/>
      <c r="F78" s="93"/>
      <c r="G78" s="101"/>
      <c r="H78" s="92"/>
      <c r="I78" s="93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>
      <c r="A79" s="84"/>
      <c r="B79" s="92"/>
      <c r="C79" s="93"/>
      <c r="D79" s="101"/>
      <c r="E79" s="92"/>
      <c r="F79" s="93"/>
      <c r="G79" s="101"/>
      <c r="H79" s="92"/>
      <c r="I79" s="93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>
      <c r="A80" s="84"/>
      <c r="B80" s="92"/>
      <c r="C80" s="93"/>
      <c r="D80" s="101"/>
      <c r="E80" s="92"/>
      <c r="F80" s="93"/>
      <c r="G80" s="101"/>
      <c r="H80" s="92"/>
      <c r="I80" s="93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>
      <c r="A81" s="84"/>
      <c r="B81" s="92"/>
      <c r="C81" s="93"/>
      <c r="D81" s="101"/>
      <c r="E81" s="92"/>
      <c r="F81" s="93"/>
      <c r="G81" s="101"/>
      <c r="H81" s="92"/>
      <c r="I81" s="93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>
      <c r="A82" s="84"/>
      <c r="B82" s="94"/>
      <c r="C82" s="95"/>
      <c r="D82" s="101"/>
      <c r="E82" s="94"/>
      <c r="F82" s="95"/>
      <c r="G82" s="101"/>
      <c r="H82" s="94"/>
      <c r="I82" s="95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>
      <c r="A85" s="84"/>
      <c r="B85" s="98" t="s">
        <v>127</v>
      </c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>
      <c r="A86" s="84"/>
      <c r="B86" s="85" t="s">
        <v>128</v>
      </c>
      <c r="D86" s="84"/>
      <c r="E86" s="85" t="s">
        <v>129</v>
      </c>
      <c r="G86" s="84"/>
      <c r="H86" s="85" t="s">
        <v>130</v>
      </c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>
      <c r="A87" s="84"/>
      <c r="B87" s="87">
        <f>COUNTIF('Business Case'!J2:J11, "AI")
</f>
        <v>3</v>
      </c>
      <c r="C87" s="88"/>
      <c r="D87" s="84"/>
      <c r="E87" s="87">
        <f>COUNTIF('Business Case'!J2:J11, "Automation")
</f>
        <v>4</v>
      </c>
      <c r="F87" s="88"/>
      <c r="G87" s="84"/>
      <c r="H87" s="87">
        <f>COUNTIF('Business Case'!J2:J11, "Chatbot")
</f>
        <v>3</v>
      </c>
      <c r="I87" s="88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>
      <c r="A88" s="84"/>
      <c r="B88" s="92"/>
      <c r="C88" s="93"/>
      <c r="D88" s="84"/>
      <c r="E88" s="92"/>
      <c r="F88" s="93"/>
      <c r="G88" s="84"/>
      <c r="H88" s="92"/>
      <c r="I88" s="93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>
      <c r="A89" s="84"/>
      <c r="B89" s="92"/>
      <c r="C89" s="93"/>
      <c r="D89" s="84"/>
      <c r="E89" s="92"/>
      <c r="F89" s="93"/>
      <c r="G89" s="84"/>
      <c r="H89" s="92"/>
      <c r="I89" s="93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>
      <c r="A90" s="84"/>
      <c r="B90" s="92"/>
      <c r="C90" s="93"/>
      <c r="D90" s="84"/>
      <c r="E90" s="92"/>
      <c r="F90" s="93"/>
      <c r="G90" s="84"/>
      <c r="H90" s="92"/>
      <c r="I90" s="93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>
      <c r="A91" s="84"/>
      <c r="B91" s="92"/>
      <c r="C91" s="93"/>
      <c r="D91" s="84"/>
      <c r="E91" s="92"/>
      <c r="F91" s="93"/>
      <c r="G91" s="84"/>
      <c r="H91" s="92"/>
      <c r="I91" s="93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>
      <c r="A92" s="84"/>
      <c r="B92" s="94"/>
      <c r="C92" s="95"/>
      <c r="D92" s="84"/>
      <c r="E92" s="94"/>
      <c r="F92" s="95"/>
      <c r="G92" s="84"/>
      <c r="H92" s="94"/>
      <c r="I92" s="95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>
      <c r="A94" s="84"/>
      <c r="B94" s="85" t="s">
        <v>122</v>
      </c>
      <c r="D94" s="85"/>
      <c r="E94" s="85" t="s">
        <v>122</v>
      </c>
      <c r="G94" s="85"/>
      <c r="H94" s="85" t="s">
        <v>122</v>
      </c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</row>
    <row r="95">
      <c r="A95" s="84"/>
      <c r="B95" s="100">
        <f>SUMIFS('Business Case'!W2:W11, 'Business Case'!J2:J11, "AI")
</f>
        <v>49170.19774</v>
      </c>
      <c r="C95" s="88"/>
      <c r="D95" s="101"/>
      <c r="E95" s="100">
        <f>SUMIFS('Business Case'!W2:W11, 'Business Case'!J2:J11, "Chatbot")
</f>
        <v>1378806.939</v>
      </c>
      <c r="F95" s="88"/>
      <c r="G95" s="101"/>
      <c r="H95" s="100">
        <f>SUMIFS('Business Case'!W2:W11, 'Business Case'!J2:J11, "Automation")
</f>
        <v>634622.1751</v>
      </c>
      <c r="I95" s="88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>
      <c r="A96" s="84"/>
      <c r="B96" s="92"/>
      <c r="C96" s="93"/>
      <c r="D96" s="101"/>
      <c r="E96" s="92"/>
      <c r="F96" s="93"/>
      <c r="G96" s="101"/>
      <c r="H96" s="92"/>
      <c r="I96" s="93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</row>
    <row r="97">
      <c r="A97" s="84"/>
      <c r="B97" s="92"/>
      <c r="C97" s="93"/>
      <c r="D97" s="101"/>
      <c r="E97" s="92"/>
      <c r="F97" s="93"/>
      <c r="G97" s="101"/>
      <c r="H97" s="92"/>
      <c r="I97" s="93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>
      <c r="A98" s="84"/>
      <c r="B98" s="92"/>
      <c r="C98" s="93"/>
      <c r="D98" s="101"/>
      <c r="E98" s="92"/>
      <c r="F98" s="93"/>
      <c r="G98" s="101"/>
      <c r="H98" s="92"/>
      <c r="I98" s="93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</row>
    <row r="99">
      <c r="A99" s="84"/>
      <c r="B99" s="92"/>
      <c r="C99" s="93"/>
      <c r="D99" s="101"/>
      <c r="E99" s="92"/>
      <c r="F99" s="93"/>
      <c r="G99" s="101"/>
      <c r="H99" s="92"/>
      <c r="I99" s="93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>
      <c r="A100" s="84"/>
      <c r="B100" s="94"/>
      <c r="C100" s="95"/>
      <c r="D100" s="101"/>
      <c r="E100" s="94"/>
      <c r="F100" s="95"/>
      <c r="G100" s="101"/>
      <c r="H100" s="94"/>
      <c r="I100" s="95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</row>
    <row r="103">
      <c r="A103" s="84"/>
      <c r="B103" s="98" t="s">
        <v>131</v>
      </c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>
      <c r="A104" s="84"/>
      <c r="B104" s="85" t="s">
        <v>132</v>
      </c>
      <c r="D104" s="84"/>
      <c r="E104" s="85" t="s">
        <v>133</v>
      </c>
      <c r="G104" s="84"/>
      <c r="H104" s="85" t="s">
        <v>134</v>
      </c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>
      <c r="A105" s="84"/>
      <c r="B105" s="87">
        <f>COUNTIF('Business Case'!L2:L11, "Low")
</f>
        <v>0</v>
      </c>
      <c r="C105" s="88"/>
      <c r="D105" s="84"/>
      <c r="E105" s="87">
        <f>COUNTIF('Business Case'!L2:L11, "Medium")
</f>
        <v>5</v>
      </c>
      <c r="F105" s="88"/>
      <c r="G105" s="84"/>
      <c r="H105" s="87">
        <f>COUNTIF('Business Case'!L2:L11, "High")
</f>
        <v>5</v>
      </c>
      <c r="I105" s="88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>
      <c r="A106" s="84"/>
      <c r="B106" s="92"/>
      <c r="C106" s="93"/>
      <c r="D106" s="84"/>
      <c r="E106" s="92"/>
      <c r="F106" s="93"/>
      <c r="G106" s="84"/>
      <c r="H106" s="92"/>
      <c r="I106" s="93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>
      <c r="A107" s="84"/>
      <c r="B107" s="92"/>
      <c r="C107" s="93"/>
      <c r="D107" s="84"/>
      <c r="E107" s="92"/>
      <c r="F107" s="93"/>
      <c r="G107" s="84"/>
      <c r="H107" s="92"/>
      <c r="I107" s="93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  <row r="108">
      <c r="A108" s="84"/>
      <c r="B108" s="92"/>
      <c r="C108" s="93"/>
      <c r="D108" s="84"/>
      <c r="E108" s="92"/>
      <c r="F108" s="93"/>
      <c r="G108" s="84"/>
      <c r="H108" s="92"/>
      <c r="I108" s="93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</row>
    <row r="109">
      <c r="A109" s="84"/>
      <c r="B109" s="92"/>
      <c r="C109" s="93"/>
      <c r="D109" s="84"/>
      <c r="E109" s="92"/>
      <c r="F109" s="93"/>
      <c r="G109" s="84"/>
      <c r="H109" s="92"/>
      <c r="I109" s="93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</row>
    <row r="110">
      <c r="A110" s="84"/>
      <c r="B110" s="94"/>
      <c r="C110" s="95"/>
      <c r="D110" s="84"/>
      <c r="E110" s="94"/>
      <c r="F110" s="95"/>
      <c r="G110" s="84"/>
      <c r="H110" s="94"/>
      <c r="I110" s="95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</row>
    <row r="112">
      <c r="A112" s="84"/>
      <c r="B112" s="85" t="s">
        <v>122</v>
      </c>
      <c r="D112" s="84"/>
      <c r="E112" s="85" t="s">
        <v>122</v>
      </c>
      <c r="G112" s="84"/>
      <c r="H112" s="85" t="s">
        <v>122</v>
      </c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</row>
    <row r="113">
      <c r="A113" s="84"/>
      <c r="B113" s="100">
        <f>SUMIFS('Business Case'!W2:W11, 'Business Case'!L2:L11, "Low")
</f>
        <v>0</v>
      </c>
      <c r="C113" s="88"/>
      <c r="D113" s="101"/>
      <c r="E113" s="100">
        <f>SUMIFS('Business Case'!W2:W11, 'Business Case'!L2:L11, "Medium")
</f>
        <v>268950.0942</v>
      </c>
      <c r="F113" s="88"/>
      <c r="G113" s="101"/>
      <c r="H113" s="100">
        <f>SUMIFS('Business Case'!W2:W11, 'Business Case'!L2:L11, "High")
</f>
        <v>1793649.217</v>
      </c>
      <c r="I113" s="88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</row>
    <row r="114">
      <c r="A114" s="84"/>
      <c r="B114" s="92"/>
      <c r="C114" s="93"/>
      <c r="D114" s="101"/>
      <c r="E114" s="92"/>
      <c r="F114" s="93"/>
      <c r="G114" s="101"/>
      <c r="H114" s="92"/>
      <c r="I114" s="93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</row>
    <row r="115">
      <c r="A115" s="84"/>
      <c r="B115" s="92"/>
      <c r="C115" s="93"/>
      <c r="D115" s="101"/>
      <c r="E115" s="92"/>
      <c r="F115" s="93"/>
      <c r="G115" s="101"/>
      <c r="H115" s="92"/>
      <c r="I115" s="93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</row>
    <row r="116">
      <c r="A116" s="84"/>
      <c r="B116" s="92"/>
      <c r="C116" s="93"/>
      <c r="D116" s="101"/>
      <c r="E116" s="92"/>
      <c r="F116" s="93"/>
      <c r="G116" s="101"/>
      <c r="H116" s="92"/>
      <c r="I116" s="93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</row>
    <row r="117">
      <c r="A117" s="84"/>
      <c r="B117" s="92"/>
      <c r="C117" s="93"/>
      <c r="D117" s="101"/>
      <c r="E117" s="92"/>
      <c r="F117" s="93"/>
      <c r="G117" s="101"/>
      <c r="H117" s="92"/>
      <c r="I117" s="93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</row>
    <row r="118">
      <c r="A118" s="84"/>
      <c r="B118" s="94"/>
      <c r="C118" s="95"/>
      <c r="D118" s="101"/>
      <c r="E118" s="94"/>
      <c r="F118" s="95"/>
      <c r="G118" s="101"/>
      <c r="H118" s="94"/>
      <c r="I118" s="95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</row>
    <row r="121">
      <c r="A121" s="84"/>
      <c r="B121" s="98" t="s">
        <v>135</v>
      </c>
      <c r="C121" s="102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</row>
    <row r="122">
      <c r="A122" s="84"/>
      <c r="B122" s="85" t="s">
        <v>135</v>
      </c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</row>
    <row r="123">
      <c r="A123" s="84"/>
      <c r="B123" s="87">
        <f>COUNTIF('Business Case'!K2:K11, "Yes")
</f>
        <v>4</v>
      </c>
      <c r="C123" s="88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>
      <c r="A124" s="84"/>
      <c r="B124" s="92"/>
      <c r="C124" s="93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</row>
    <row r="125">
      <c r="A125" s="84"/>
      <c r="B125" s="92"/>
      <c r="C125" s="93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</row>
    <row r="126">
      <c r="A126" s="84"/>
      <c r="B126" s="92"/>
      <c r="C126" s="93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</row>
    <row r="127">
      <c r="A127" s="84"/>
      <c r="B127" s="92"/>
      <c r="C127" s="93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>
      <c r="A128" s="84"/>
      <c r="B128" s="94"/>
      <c r="C128" s="95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</row>
    <row r="1012">
      <c r="A1012" s="84"/>
      <c r="B1012" s="84"/>
      <c r="C1012" s="84"/>
      <c r="D1012" s="84"/>
      <c r="E1012" s="84"/>
      <c r="F1012" s="84"/>
      <c r="G1012" s="84"/>
      <c r="H1012" s="84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</row>
    <row r="1013">
      <c r="A1013" s="84"/>
      <c r="B1013" s="84"/>
      <c r="C1013" s="84"/>
      <c r="D1013" s="84"/>
      <c r="E1013" s="84"/>
      <c r="F1013" s="84"/>
      <c r="G1013" s="84"/>
      <c r="H1013" s="84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</row>
    <row r="1014">
      <c r="A1014" s="84"/>
      <c r="B1014" s="84"/>
      <c r="C1014" s="84"/>
      <c r="D1014" s="84"/>
      <c r="E1014" s="84"/>
      <c r="F1014" s="84"/>
      <c r="G1014" s="84"/>
      <c r="H1014" s="84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</row>
    <row r="1015">
      <c r="A1015" s="84"/>
      <c r="B1015" s="84"/>
      <c r="C1015" s="84"/>
      <c r="D1015" s="84"/>
      <c r="E1015" s="84"/>
      <c r="F1015" s="84"/>
      <c r="G1015" s="84"/>
      <c r="H1015" s="84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</row>
    <row r="1016">
      <c r="A1016" s="84"/>
      <c r="B1016" s="84"/>
      <c r="C1016" s="84"/>
      <c r="D1016" s="84"/>
      <c r="E1016" s="84"/>
      <c r="F1016" s="84"/>
      <c r="G1016" s="84"/>
      <c r="H1016" s="84"/>
      <c r="I1016" s="84"/>
      <c r="J1016" s="84"/>
      <c r="K1016" s="84"/>
      <c r="L1016" s="84"/>
      <c r="M1016" s="84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</row>
    <row r="1017">
      <c r="A1017" s="84"/>
      <c r="B1017" s="84"/>
      <c r="C1017" s="84"/>
      <c r="D1017" s="84"/>
      <c r="E1017" s="84"/>
      <c r="F1017" s="84"/>
      <c r="G1017" s="84"/>
      <c r="H1017" s="84"/>
      <c r="I1017" s="84"/>
      <c r="J1017" s="84"/>
      <c r="K1017" s="84"/>
      <c r="L1017" s="84"/>
      <c r="M1017" s="84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</row>
    <row r="1018">
      <c r="A1018" s="84"/>
      <c r="B1018" s="84"/>
      <c r="C1018" s="84"/>
      <c r="D1018" s="84"/>
      <c r="E1018" s="84"/>
      <c r="F1018" s="84"/>
      <c r="G1018" s="84"/>
      <c r="H1018" s="84"/>
      <c r="I1018" s="84"/>
      <c r="J1018" s="84"/>
      <c r="K1018" s="84"/>
      <c r="L1018" s="84"/>
      <c r="M1018" s="84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</row>
    <row r="1019">
      <c r="A1019" s="84"/>
      <c r="B1019" s="84"/>
      <c r="C1019" s="84"/>
      <c r="D1019" s="84"/>
      <c r="E1019" s="84"/>
      <c r="F1019" s="84"/>
      <c r="G1019" s="84"/>
      <c r="H1019" s="84"/>
      <c r="I1019" s="84"/>
      <c r="J1019" s="84"/>
      <c r="K1019" s="84"/>
      <c r="L1019" s="84"/>
      <c r="M1019" s="84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</row>
    <row r="1020">
      <c r="A1020" s="84"/>
      <c r="B1020" s="84"/>
      <c r="C1020" s="84"/>
      <c r="D1020" s="84"/>
      <c r="E1020" s="84"/>
      <c r="F1020" s="84"/>
      <c r="G1020" s="84"/>
      <c r="H1020" s="84"/>
      <c r="I1020" s="84"/>
      <c r="J1020" s="84"/>
      <c r="K1020" s="84"/>
      <c r="L1020" s="84"/>
      <c r="M1020" s="84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</row>
    <row r="1021">
      <c r="A1021" s="84"/>
      <c r="B1021" s="84"/>
      <c r="C1021" s="84"/>
      <c r="D1021" s="84"/>
      <c r="E1021" s="84"/>
      <c r="F1021" s="84"/>
      <c r="G1021" s="84"/>
      <c r="H1021" s="84"/>
      <c r="I1021" s="84"/>
      <c r="J1021" s="84"/>
      <c r="K1021" s="84"/>
      <c r="L1021" s="84"/>
      <c r="M1021" s="84"/>
      <c r="N1021" s="84"/>
      <c r="O1021" s="84"/>
      <c r="P1021" s="84"/>
      <c r="Q1021" s="84"/>
      <c r="R1021" s="84"/>
      <c r="S1021" s="84"/>
      <c r="T1021" s="84"/>
      <c r="U1021" s="84"/>
      <c r="V1021" s="84"/>
      <c r="W1021" s="84"/>
      <c r="X1021" s="84"/>
      <c r="Y1021" s="84"/>
    </row>
    <row r="1022">
      <c r="A1022" s="84"/>
      <c r="B1022" s="84"/>
      <c r="C1022" s="84"/>
      <c r="D1022" s="84"/>
      <c r="E1022" s="84"/>
      <c r="F1022" s="84"/>
      <c r="G1022" s="84"/>
      <c r="H1022" s="84"/>
      <c r="I1022" s="84"/>
      <c r="J1022" s="84"/>
      <c r="K1022" s="84"/>
      <c r="L1022" s="84"/>
      <c r="M1022" s="84"/>
      <c r="N1022" s="84"/>
      <c r="O1022" s="84"/>
      <c r="P1022" s="84"/>
      <c r="Q1022" s="84"/>
      <c r="R1022" s="84"/>
      <c r="S1022" s="84"/>
      <c r="T1022" s="84"/>
      <c r="U1022" s="84"/>
      <c r="V1022" s="84"/>
      <c r="W1022" s="84"/>
      <c r="X1022" s="84"/>
      <c r="Y1022" s="84"/>
    </row>
    <row r="1023">
      <c r="A1023" s="84"/>
      <c r="B1023" s="84"/>
      <c r="C1023" s="84"/>
      <c r="D1023" s="84"/>
      <c r="E1023" s="84"/>
      <c r="F1023" s="84"/>
      <c r="G1023" s="84"/>
      <c r="H1023" s="84"/>
      <c r="I1023" s="84"/>
      <c r="J1023" s="84"/>
      <c r="K1023" s="84"/>
      <c r="L1023" s="84"/>
      <c r="M1023" s="84"/>
      <c r="N1023" s="84"/>
      <c r="O1023" s="84"/>
      <c r="P1023" s="84"/>
      <c r="Q1023" s="84"/>
      <c r="R1023" s="84"/>
      <c r="S1023" s="84"/>
      <c r="T1023" s="84"/>
      <c r="U1023" s="84"/>
      <c r="V1023" s="84"/>
      <c r="W1023" s="84"/>
      <c r="X1023" s="84"/>
      <c r="Y1023" s="84"/>
    </row>
    <row r="1024">
      <c r="A1024" s="84"/>
      <c r="B1024" s="84"/>
      <c r="C1024" s="84"/>
      <c r="D1024" s="84"/>
      <c r="E1024" s="84"/>
      <c r="F1024" s="84"/>
      <c r="G1024" s="84"/>
      <c r="H1024" s="84"/>
      <c r="I1024" s="84"/>
      <c r="J1024" s="84"/>
      <c r="K1024" s="84"/>
      <c r="L1024" s="84"/>
      <c r="M1024" s="84"/>
      <c r="N1024" s="84"/>
      <c r="O1024" s="84"/>
      <c r="P1024" s="84"/>
      <c r="Q1024" s="84"/>
      <c r="R1024" s="84"/>
      <c r="S1024" s="84"/>
      <c r="T1024" s="84"/>
      <c r="U1024" s="84"/>
      <c r="V1024" s="84"/>
      <c r="W1024" s="84"/>
      <c r="X1024" s="84"/>
      <c r="Y1024" s="84"/>
    </row>
    <row r="1025">
      <c r="A1025" s="84"/>
      <c r="B1025" s="84"/>
      <c r="C1025" s="84"/>
      <c r="D1025" s="84"/>
      <c r="E1025" s="84"/>
      <c r="F1025" s="84"/>
      <c r="G1025" s="84"/>
      <c r="H1025" s="84"/>
      <c r="I1025" s="84"/>
      <c r="J1025" s="84"/>
      <c r="K1025" s="84"/>
      <c r="L1025" s="84"/>
      <c r="M1025" s="84"/>
      <c r="N1025" s="84"/>
      <c r="O1025" s="84"/>
      <c r="P1025" s="84"/>
      <c r="Q1025" s="84"/>
      <c r="R1025" s="84"/>
      <c r="S1025" s="84"/>
      <c r="T1025" s="84"/>
      <c r="U1025" s="84"/>
      <c r="V1025" s="84"/>
      <c r="W1025" s="84"/>
      <c r="X1025" s="84"/>
      <c r="Y1025" s="84"/>
    </row>
    <row r="1026">
      <c r="A1026" s="84"/>
      <c r="B1026" s="84"/>
      <c r="C1026" s="84"/>
      <c r="D1026" s="84"/>
      <c r="E1026" s="84"/>
      <c r="F1026" s="84"/>
      <c r="G1026" s="84"/>
      <c r="H1026" s="84"/>
      <c r="I1026" s="84"/>
      <c r="J1026" s="84"/>
      <c r="K1026" s="84"/>
      <c r="L1026" s="84"/>
      <c r="M1026" s="84"/>
      <c r="N1026" s="84"/>
      <c r="O1026" s="84"/>
      <c r="P1026" s="84"/>
      <c r="Q1026" s="84"/>
      <c r="R1026" s="84"/>
      <c r="S1026" s="84"/>
      <c r="T1026" s="84"/>
      <c r="U1026" s="84"/>
      <c r="V1026" s="84"/>
      <c r="W1026" s="84"/>
      <c r="X1026" s="84"/>
      <c r="Y1026" s="84"/>
    </row>
    <row r="1027">
      <c r="A1027" s="84"/>
      <c r="B1027" s="84"/>
      <c r="C1027" s="84"/>
      <c r="D1027" s="84"/>
      <c r="E1027" s="84"/>
      <c r="F1027" s="84"/>
      <c r="G1027" s="84"/>
      <c r="H1027" s="84"/>
      <c r="I1027" s="84"/>
      <c r="J1027" s="84"/>
      <c r="K1027" s="84"/>
      <c r="L1027" s="84"/>
      <c r="M1027" s="84"/>
      <c r="N1027" s="84"/>
      <c r="O1027" s="84"/>
      <c r="P1027" s="84"/>
      <c r="Q1027" s="84"/>
      <c r="R1027" s="84"/>
      <c r="S1027" s="84"/>
      <c r="T1027" s="84"/>
      <c r="U1027" s="84"/>
      <c r="V1027" s="84"/>
      <c r="W1027" s="84"/>
      <c r="X1027" s="84"/>
      <c r="Y1027" s="84"/>
    </row>
    <row r="1028">
      <c r="A1028" s="84"/>
      <c r="B1028" s="84"/>
      <c r="C1028" s="84"/>
      <c r="D1028" s="84"/>
      <c r="E1028" s="84"/>
      <c r="F1028" s="84"/>
      <c r="G1028" s="84"/>
      <c r="H1028" s="84"/>
      <c r="I1028" s="84"/>
      <c r="J1028" s="84"/>
      <c r="K1028" s="84"/>
      <c r="L1028" s="84"/>
      <c r="M1028" s="84"/>
      <c r="N1028" s="84"/>
      <c r="O1028" s="84"/>
      <c r="P1028" s="84"/>
      <c r="Q1028" s="84"/>
      <c r="R1028" s="84"/>
      <c r="S1028" s="84"/>
      <c r="T1028" s="84"/>
      <c r="U1028" s="84"/>
      <c r="V1028" s="84"/>
      <c r="W1028" s="84"/>
      <c r="X1028" s="84"/>
      <c r="Y1028" s="84"/>
    </row>
    <row r="1029">
      <c r="A1029" s="84"/>
      <c r="B1029" s="84"/>
      <c r="C1029" s="84"/>
      <c r="D1029" s="84"/>
      <c r="E1029" s="84"/>
      <c r="F1029" s="84"/>
      <c r="G1029" s="84"/>
      <c r="H1029" s="84"/>
      <c r="I1029" s="84"/>
      <c r="J1029" s="84"/>
      <c r="K1029" s="84"/>
      <c r="L1029" s="84"/>
      <c r="M1029" s="84"/>
      <c r="N1029" s="84"/>
      <c r="O1029" s="84"/>
      <c r="P1029" s="84"/>
      <c r="Q1029" s="84"/>
      <c r="R1029" s="84"/>
      <c r="S1029" s="84"/>
      <c r="T1029" s="84"/>
      <c r="U1029" s="84"/>
      <c r="V1029" s="84"/>
      <c r="W1029" s="84"/>
      <c r="X1029" s="84"/>
      <c r="Y1029" s="84"/>
    </row>
    <row r="1030">
      <c r="A1030" s="84"/>
      <c r="B1030" s="84"/>
      <c r="C1030" s="84"/>
      <c r="D1030" s="84"/>
      <c r="E1030" s="84"/>
      <c r="F1030" s="84"/>
      <c r="G1030" s="84"/>
      <c r="H1030" s="84"/>
      <c r="I1030" s="84"/>
      <c r="J1030" s="84"/>
      <c r="K1030" s="84"/>
      <c r="L1030" s="84"/>
      <c r="M1030" s="84"/>
      <c r="N1030" s="84"/>
      <c r="O1030" s="84"/>
      <c r="P1030" s="84"/>
      <c r="Q1030" s="84"/>
      <c r="R1030" s="84"/>
      <c r="S1030" s="84"/>
      <c r="T1030" s="84"/>
      <c r="U1030" s="84"/>
      <c r="V1030" s="84"/>
      <c r="W1030" s="84"/>
      <c r="X1030" s="84"/>
      <c r="Y1030" s="84"/>
    </row>
    <row r="1031">
      <c r="A1031" s="84"/>
      <c r="B1031" s="84"/>
      <c r="C1031" s="84"/>
      <c r="D1031" s="84"/>
      <c r="E1031" s="84"/>
      <c r="F1031" s="84"/>
      <c r="G1031" s="84"/>
      <c r="H1031" s="84"/>
      <c r="I1031" s="84"/>
      <c r="J1031" s="84"/>
      <c r="K1031" s="84"/>
      <c r="L1031" s="84"/>
      <c r="M1031" s="84"/>
      <c r="N1031" s="84"/>
      <c r="O1031" s="84"/>
      <c r="P1031" s="84"/>
      <c r="Q1031" s="84"/>
      <c r="R1031" s="84"/>
      <c r="S1031" s="84"/>
      <c r="T1031" s="84"/>
      <c r="U1031" s="84"/>
      <c r="V1031" s="84"/>
      <c r="W1031" s="84"/>
      <c r="X1031" s="84"/>
      <c r="Y1031" s="84"/>
    </row>
    <row r="1032">
      <c r="A1032" s="84"/>
      <c r="B1032" s="84"/>
      <c r="C1032" s="84"/>
      <c r="D1032" s="84"/>
      <c r="E1032" s="84"/>
      <c r="F1032" s="84"/>
      <c r="G1032" s="84"/>
      <c r="H1032" s="84"/>
      <c r="I1032" s="84"/>
      <c r="J1032" s="84"/>
      <c r="K1032" s="84"/>
      <c r="L1032" s="84"/>
      <c r="M1032" s="84"/>
      <c r="N1032" s="84"/>
      <c r="O1032" s="84"/>
      <c r="P1032" s="84"/>
      <c r="Q1032" s="84"/>
      <c r="R1032" s="84"/>
      <c r="S1032" s="84"/>
      <c r="T1032" s="84"/>
      <c r="U1032" s="84"/>
      <c r="V1032" s="84"/>
      <c r="W1032" s="84"/>
      <c r="X1032" s="84"/>
      <c r="Y1032" s="84"/>
    </row>
    <row r="1033">
      <c r="A1033" s="84"/>
      <c r="B1033" s="84"/>
      <c r="C1033" s="84"/>
      <c r="D1033" s="84"/>
      <c r="E1033" s="84"/>
      <c r="F1033" s="84"/>
      <c r="G1033" s="84"/>
      <c r="H1033" s="84"/>
      <c r="I1033" s="84"/>
      <c r="J1033" s="84"/>
      <c r="K1033" s="84"/>
      <c r="L1033" s="84"/>
      <c r="M1033" s="84"/>
      <c r="N1033" s="84"/>
      <c r="O1033" s="84"/>
      <c r="P1033" s="84"/>
      <c r="Q1033" s="84"/>
      <c r="R1033" s="84"/>
      <c r="S1033" s="84"/>
      <c r="T1033" s="84"/>
      <c r="U1033" s="84"/>
      <c r="V1033" s="84"/>
      <c r="W1033" s="84"/>
      <c r="X1033" s="84"/>
      <c r="Y1033" s="84"/>
    </row>
    <row r="1034">
      <c r="A1034" s="84"/>
      <c r="B1034" s="84"/>
      <c r="C1034" s="84"/>
      <c r="D1034" s="84"/>
      <c r="E1034" s="84"/>
      <c r="F1034" s="84"/>
      <c r="G1034" s="84"/>
      <c r="H1034" s="84"/>
      <c r="I1034" s="84"/>
      <c r="J1034" s="84"/>
      <c r="K1034" s="84"/>
      <c r="L1034" s="84"/>
      <c r="M1034" s="84"/>
      <c r="N1034" s="84"/>
      <c r="O1034" s="84"/>
      <c r="P1034" s="84"/>
      <c r="Q1034" s="84"/>
      <c r="R1034" s="84"/>
      <c r="S1034" s="84"/>
      <c r="T1034" s="84"/>
      <c r="U1034" s="84"/>
      <c r="V1034" s="84"/>
      <c r="W1034" s="84"/>
      <c r="X1034" s="84"/>
      <c r="Y1034" s="84"/>
    </row>
    <row r="1035">
      <c r="A1035" s="84"/>
      <c r="B1035" s="84"/>
      <c r="C1035" s="84"/>
      <c r="D1035" s="84"/>
      <c r="E1035" s="84"/>
      <c r="F1035" s="84"/>
      <c r="G1035" s="84"/>
      <c r="H1035" s="84"/>
      <c r="I1035" s="84"/>
      <c r="J1035" s="84"/>
      <c r="K1035" s="84"/>
      <c r="L1035" s="84"/>
      <c r="M1035" s="84"/>
      <c r="N1035" s="84"/>
      <c r="O1035" s="84"/>
      <c r="P1035" s="84"/>
      <c r="Q1035" s="84"/>
      <c r="R1035" s="84"/>
      <c r="S1035" s="84"/>
      <c r="T1035" s="84"/>
      <c r="U1035" s="84"/>
      <c r="V1035" s="84"/>
      <c r="W1035" s="84"/>
      <c r="X1035" s="84"/>
      <c r="Y1035" s="84"/>
    </row>
    <row r="1036">
      <c r="A1036" s="84"/>
      <c r="B1036" s="84"/>
      <c r="C1036" s="84"/>
      <c r="D1036" s="84"/>
      <c r="E1036" s="84"/>
      <c r="F1036" s="84"/>
      <c r="G1036" s="84"/>
      <c r="H1036" s="84"/>
      <c r="I1036" s="84"/>
      <c r="J1036" s="84"/>
      <c r="K1036" s="84"/>
      <c r="L1036" s="84"/>
      <c r="M1036" s="84"/>
      <c r="N1036" s="84"/>
      <c r="O1036" s="84"/>
      <c r="P1036" s="84"/>
      <c r="Q1036" s="84"/>
      <c r="R1036" s="84"/>
      <c r="S1036" s="84"/>
      <c r="T1036" s="84"/>
      <c r="U1036" s="84"/>
      <c r="V1036" s="84"/>
      <c r="W1036" s="84"/>
      <c r="X1036" s="84"/>
      <c r="Y1036" s="84"/>
    </row>
    <row r="1037">
      <c r="A1037" s="84"/>
      <c r="B1037" s="84"/>
      <c r="C1037" s="84"/>
      <c r="D1037" s="84"/>
      <c r="E1037" s="84"/>
      <c r="F1037" s="84"/>
      <c r="G1037" s="84"/>
      <c r="H1037" s="84"/>
      <c r="I1037" s="84"/>
      <c r="J1037" s="84"/>
      <c r="K1037" s="84"/>
      <c r="L1037" s="84"/>
      <c r="M1037" s="84"/>
      <c r="N1037" s="84"/>
      <c r="O1037" s="84"/>
      <c r="P1037" s="84"/>
      <c r="Q1037" s="84"/>
      <c r="R1037" s="84"/>
      <c r="S1037" s="84"/>
      <c r="T1037" s="84"/>
      <c r="U1037" s="84"/>
      <c r="V1037" s="84"/>
      <c r="W1037" s="84"/>
      <c r="X1037" s="84"/>
      <c r="Y1037" s="84"/>
    </row>
  </sheetData>
  <mergeCells count="60">
    <mergeCell ref="H105:I110"/>
    <mergeCell ref="H112:I112"/>
    <mergeCell ref="H76:I76"/>
    <mergeCell ref="H77:I82"/>
    <mergeCell ref="H86:I86"/>
    <mergeCell ref="H87:I92"/>
    <mergeCell ref="H94:I94"/>
    <mergeCell ref="H95:I100"/>
    <mergeCell ref="H104:I104"/>
    <mergeCell ref="B2:C2"/>
    <mergeCell ref="E2:F2"/>
    <mergeCell ref="H2:I2"/>
    <mergeCell ref="N2:O2"/>
    <mergeCell ref="B3:C8"/>
    <mergeCell ref="E3:F8"/>
    <mergeCell ref="H3:I8"/>
    <mergeCell ref="N3:O8"/>
    <mergeCell ref="K2:L2"/>
    <mergeCell ref="K3:L8"/>
    <mergeCell ref="B50:C50"/>
    <mergeCell ref="E50:F50"/>
    <mergeCell ref="H50:I50"/>
    <mergeCell ref="E51:F56"/>
    <mergeCell ref="H51:I56"/>
    <mergeCell ref="E58:F58"/>
    <mergeCell ref="H58:I58"/>
    <mergeCell ref="E59:F64"/>
    <mergeCell ref="H59:I64"/>
    <mergeCell ref="E68:F68"/>
    <mergeCell ref="H68:I68"/>
    <mergeCell ref="H69:I74"/>
    <mergeCell ref="B51:C56"/>
    <mergeCell ref="B58:C58"/>
    <mergeCell ref="B59:C64"/>
    <mergeCell ref="B68:C68"/>
    <mergeCell ref="B69:C74"/>
    <mergeCell ref="B76:C76"/>
    <mergeCell ref="B77:C82"/>
    <mergeCell ref="E104:F104"/>
    <mergeCell ref="E105:F110"/>
    <mergeCell ref="E112:F112"/>
    <mergeCell ref="E113:F118"/>
    <mergeCell ref="H113:I118"/>
    <mergeCell ref="E69:F74"/>
    <mergeCell ref="E76:F76"/>
    <mergeCell ref="E77:F82"/>
    <mergeCell ref="E86:F86"/>
    <mergeCell ref="E87:F92"/>
    <mergeCell ref="E94:F94"/>
    <mergeCell ref="E95:F100"/>
    <mergeCell ref="B113:C118"/>
    <mergeCell ref="B122:C122"/>
    <mergeCell ref="B123:C128"/>
    <mergeCell ref="B86:C86"/>
    <mergeCell ref="B87:C92"/>
    <mergeCell ref="B94:C94"/>
    <mergeCell ref="B95:C100"/>
    <mergeCell ref="B104:C104"/>
    <mergeCell ref="B105:C110"/>
    <mergeCell ref="B112:C112"/>
  </mergeCells>
  <drawing r:id="rId1"/>
</worksheet>
</file>